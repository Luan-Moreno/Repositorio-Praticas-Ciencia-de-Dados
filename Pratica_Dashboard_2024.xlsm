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EstaPastaDeTrabalho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luanp\Documents\"/>
    </mc:Choice>
  </mc:AlternateContent>
  <xr:revisionPtr revIDLastSave="0" documentId="8_{C91273D5-4BE8-4B76-8A58-E7A0DA7E73F3}" xr6:coauthVersionLast="47" xr6:coauthVersionMax="47" xr10:uidLastSave="{00000000-0000-0000-0000-000000000000}"/>
  <bookViews>
    <workbookView xWindow="2745" yWindow="3525" windowWidth="28800" windowHeight="11385" activeTab="2" xr2:uid="{2172AB04-0AC2-4115-AB65-1C55EB0B9E61}"/>
  </bookViews>
  <sheets>
    <sheet name="Dados Brutos-EN" sheetId="1" r:id="rId1"/>
    <sheet name="Tabela_dinamica" sheetId="8" r:id="rId2"/>
    <sheet name="Dashboard" sheetId="4" r:id="rId3"/>
  </sheets>
  <definedNames>
    <definedName name="_xlnm._FilterDatabase" localSheetId="0" hidden="1">'Dados Brutos-EN'!$A$1:$O$250</definedName>
    <definedName name="SegmentaçãodeDados_City1">#N/A</definedName>
  </definedNames>
  <calcPr calcId="191029"/>
  <pivotCaches>
    <pivotCache cacheId="0" r:id="rId4"/>
  </pivotCaches>
  <extLst>
    <ext xmlns:x14="http://schemas.microsoft.com/office/spreadsheetml/2009/9/main" uri="{BBE1A952-AA13-448e-AADC-164F8A28A991}">
      <x14:slicerCaches>
        <x14:slicerCache r:id="rId5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7" i="4" l="1"/>
  <c r="P6" i="4"/>
</calcChain>
</file>

<file path=xl/sharedStrings.xml><?xml version="1.0" encoding="utf-8"?>
<sst xmlns="http://schemas.openxmlformats.org/spreadsheetml/2006/main" count="2013" uniqueCount="384">
  <si>
    <t>Order Priority</t>
  </si>
  <si>
    <t>Discount</t>
  </si>
  <si>
    <t>Unit Price</t>
  </si>
  <si>
    <t>Shipping Cost</t>
  </si>
  <si>
    <t>Customer ID</t>
  </si>
  <si>
    <t>Ship Mode</t>
  </si>
  <si>
    <t>Customer Segment</t>
  </si>
  <si>
    <t>Product Category</t>
  </si>
  <si>
    <t>Product Sub-Category</t>
  </si>
  <si>
    <t>Product Container</t>
  </si>
  <si>
    <t>Product Name</t>
  </si>
  <si>
    <t>Product Base Margin</t>
  </si>
  <si>
    <t>City</t>
  </si>
  <si>
    <t>Profit</t>
  </si>
  <si>
    <t>Sales</t>
  </si>
  <si>
    <t>High</t>
  </si>
  <si>
    <t>Express Air</t>
  </si>
  <si>
    <t>Corporate</t>
  </si>
  <si>
    <t>Office Supplies</t>
  </si>
  <si>
    <t>Pens &amp; Art Supplies</t>
  </si>
  <si>
    <t>Wrap Bag</t>
  </si>
  <si>
    <t>SANFORD Liquid Accent™ Tank-Style Highlighters</t>
  </si>
  <si>
    <t>Anacortes</t>
  </si>
  <si>
    <t>Not Specified</t>
  </si>
  <si>
    <t>Delivery Truck</t>
  </si>
  <si>
    <t>Home Office</t>
  </si>
  <si>
    <t>Furniture</t>
  </si>
  <si>
    <t>Chairs &amp; Chairmats</t>
  </si>
  <si>
    <t>Jumbo Drum</t>
  </si>
  <si>
    <t>Global Troy™ Executive Leather Low-Back Tilter</t>
  </si>
  <si>
    <t>San Gabriel</t>
  </si>
  <si>
    <t>Critical</t>
  </si>
  <si>
    <t>Regular Air</t>
  </si>
  <si>
    <t>Office Furnishings</t>
  </si>
  <si>
    <t>Small Pack</t>
  </si>
  <si>
    <t>DAX Two-Tone Rosewood/Black Document Frame, Desktop, 5 x 7</t>
  </si>
  <si>
    <t>Roselle</t>
  </si>
  <si>
    <t>Medium</t>
  </si>
  <si>
    <t>Small Business</t>
  </si>
  <si>
    <t>Small Box</t>
  </si>
  <si>
    <t>Howard Miller 12-3/4 Diameter Accuwave DS ™ Wall Clock</t>
  </si>
  <si>
    <t>Prior Lake</t>
  </si>
  <si>
    <t>Newell 321</t>
  </si>
  <si>
    <t>Newell 351</t>
  </si>
  <si>
    <t>Rubber Bands</t>
  </si>
  <si>
    <t>OIC Colored Binder Clips, Assorted Sizes</t>
  </si>
  <si>
    <t>Envelopes</t>
  </si>
  <si>
    <t>Grip Seal Envelopes</t>
  </si>
  <si>
    <t>Smithtown</t>
  </si>
  <si>
    <t>Tyvek ® Top-Opening Peel &amp; Seel ® Envelopes, Gray</t>
  </si>
  <si>
    <t>Staples Gold Paper Clips</t>
  </si>
  <si>
    <t>Syracuse</t>
  </si>
  <si>
    <t>Technology</t>
  </si>
  <si>
    <t>Telephones and Communication</t>
  </si>
  <si>
    <t>StarTAC 7797</t>
  </si>
  <si>
    <t>DAX Natural Wood-Tone Poster Frame</t>
  </si>
  <si>
    <t>Helena</t>
  </si>
  <si>
    <t>Office Machines</t>
  </si>
  <si>
    <t>Medium Box</t>
  </si>
  <si>
    <t>Hewlett Packard 6S Scientific Calculator</t>
  </si>
  <si>
    <t>Missoula</t>
  </si>
  <si>
    <t>New York City</t>
  </si>
  <si>
    <t>Advantus Plastic Paper Clips</t>
  </si>
  <si>
    <t>Paper</t>
  </si>
  <si>
    <t>Xerox 194</t>
  </si>
  <si>
    <t>Laguna Niguel</t>
  </si>
  <si>
    <t>Newell 323</t>
  </si>
  <si>
    <t>Eldon Image Series Black Desk Accessories</t>
  </si>
  <si>
    <t>Lakewood</t>
  </si>
  <si>
    <t>Hunt Boston® Vacuum Mount KS Pencil Sharpener</t>
  </si>
  <si>
    <t>Grants Pass</t>
  </si>
  <si>
    <t>Canon P1-DHIII Palm Printing Calculator</t>
  </si>
  <si>
    <t>StarTAC 3000</t>
  </si>
  <si>
    <t>Low</t>
  </si>
  <si>
    <t>TimeportP7382</t>
  </si>
  <si>
    <t>Binders and Binder Accessories</t>
  </si>
  <si>
    <t>Storex DuraTech Recycled Plastic Frosted Binders</t>
  </si>
  <si>
    <t>Gresham</t>
  </si>
  <si>
    <t>Newell 338</t>
  </si>
  <si>
    <t>Consumer</t>
  </si>
  <si>
    <t>AT&amp;T 2230 Dual Handset Phone With Caller ID/Call Waiting</t>
  </si>
  <si>
    <t>Redmond</t>
  </si>
  <si>
    <t>Puyallup</t>
  </si>
  <si>
    <t>Jumbo Box</t>
  </si>
  <si>
    <t>Okidata Pacemark 4410N Wide Format Dot Matrix Printer</t>
  </si>
  <si>
    <t>Xerox 1903</t>
  </si>
  <si>
    <t>Durable Pressboard Binders</t>
  </si>
  <si>
    <t>Tonawanda</t>
  </si>
  <si>
    <t>Newell 310</t>
  </si>
  <si>
    <t>Xerox 193</t>
  </si>
  <si>
    <t>Round Rock</t>
  </si>
  <si>
    <t>Snap-A-Way® Black Print Carbonless Speed Message, No Reply Area, Duplicate</t>
  </si>
  <si>
    <t>Labels</t>
  </si>
  <si>
    <t>Avery 501</t>
  </si>
  <si>
    <t>Salem</t>
  </si>
  <si>
    <t>Storage &amp; Organization</t>
  </si>
  <si>
    <t>Dual Level, Single-Width Filing Carts</t>
  </si>
  <si>
    <t>Napa</t>
  </si>
  <si>
    <t>Hon 4070 Series Pagoda™ Armless Upholstered Stacking Chairs</t>
  </si>
  <si>
    <t>Hon Valutask™ Swivel Chairs</t>
  </si>
  <si>
    <t>Global High-Back Leather Tilter, Burgundy</t>
  </si>
  <si>
    <t>Burlington</t>
  </si>
  <si>
    <t>Tables</t>
  </si>
  <si>
    <t>Hon 94000 Series Round Tables</t>
  </si>
  <si>
    <t>Canton</t>
  </si>
  <si>
    <t>6" Cubicle Wall Clock, Black</t>
  </si>
  <si>
    <t>Cincinnati</t>
  </si>
  <si>
    <t>GBC DocuBind TL300 Electric Binding System</t>
  </si>
  <si>
    <t>Fellowes Super Stor/Drawer® Files</t>
  </si>
  <si>
    <t>Vacaville</t>
  </si>
  <si>
    <t>Avery 493</t>
  </si>
  <si>
    <t>Prismacolor Color Pencil Set</t>
  </si>
  <si>
    <t>Vallejo</t>
  </si>
  <si>
    <t>Array® Memo Cubes</t>
  </si>
  <si>
    <t>REDIFORM Incoming/Outgoing Call Register, 11" X 8 1/2", 100 Messages</t>
  </si>
  <si>
    <t>Terrytown</t>
  </si>
  <si>
    <t>Xerox 1897</t>
  </si>
  <si>
    <t>Scissors, Rulers and Trimmers</t>
  </si>
  <si>
    <t>Acme® 8" Straight Scissors</t>
  </si>
  <si>
    <t>Office Star - Mid Back Dual function Ergonomic High Back Chair with 2-Way Adjustable Arms</t>
  </si>
  <si>
    <t>Chicago</t>
  </si>
  <si>
    <t>Computer Peripherals</t>
  </si>
  <si>
    <t>Belkin 107-key enhanced keyboard, USB/PS/2 interface</t>
  </si>
  <si>
    <t>Manhattan</t>
  </si>
  <si>
    <t>Belkin 105-Key Black Keyboard</t>
  </si>
  <si>
    <t>Biddeford</t>
  </si>
  <si>
    <t>Bookcases</t>
  </si>
  <si>
    <t>Atlantic Metals Mobile 5-Shelf Bookcases, Custom Colors</t>
  </si>
  <si>
    <t>Boston</t>
  </si>
  <si>
    <t>Avery Durable Binders</t>
  </si>
  <si>
    <t>Dover</t>
  </si>
  <si>
    <t>Lodi</t>
  </si>
  <si>
    <t>Dixon Prang® Watercolor Pencils, 10-Color Set with Brush</t>
  </si>
  <si>
    <t>Lake Oswego</t>
  </si>
  <si>
    <t>EcoTones® Memo Sheets</t>
  </si>
  <si>
    <t>Fuji Slim Jewel Case CD-R</t>
  </si>
  <si>
    <t>Mcminnville</t>
  </si>
  <si>
    <t>Seattle</t>
  </si>
  <si>
    <t>Avery 51</t>
  </si>
  <si>
    <t>Layton</t>
  </si>
  <si>
    <t>Acme® Office Executive Series Stainless Steel Trimmers</t>
  </si>
  <si>
    <t>Tysons Corner</t>
  </si>
  <si>
    <t>Eldon Regeneration Recycled Desk Accessories, Smoke</t>
  </si>
  <si>
    <t>Alton</t>
  </si>
  <si>
    <t>#10-4 1/8" x 9 1/2" Premium Diagonal Seam Envelopes</t>
  </si>
  <si>
    <t>Xerox 1939</t>
  </si>
  <si>
    <t>Petaluma</t>
  </si>
  <si>
    <t>Fiskars® Softgrip Scissors</t>
  </si>
  <si>
    <t>Xerox 1964</t>
  </si>
  <si>
    <t>Ansonia</t>
  </si>
  <si>
    <t>Yarmouth</t>
  </si>
  <si>
    <t>Wirebound Message Books, 2 7/8" x 5", 3 Forms per Page</t>
  </si>
  <si>
    <t>West Mifflin</t>
  </si>
  <si>
    <t>Large Box</t>
  </si>
  <si>
    <t>Laminate Occasional Tables</t>
  </si>
  <si>
    <t>Tenex B1-RE Series Chair Mats for Low Pile Carpets</t>
  </si>
  <si>
    <t>Watauga</t>
  </si>
  <si>
    <t>Global Ergonomic Managers Chair</t>
  </si>
  <si>
    <t>PC Concepts 116 Key Quantum 3000 Keyboard</t>
  </si>
  <si>
    <t>Kingsport</t>
  </si>
  <si>
    <t>Wausau Papers Astrobrights® Colored Envelopes</t>
  </si>
  <si>
    <t>Newell 335</t>
  </si>
  <si>
    <t>Knoxville</t>
  </si>
  <si>
    <t>Eldon Cleatmat Plus™ Chair Mats for High Pile Carpets</t>
  </si>
  <si>
    <t>StarTAC Analog</t>
  </si>
  <si>
    <t>Microsoft Natural Keyboard Elite</t>
  </si>
  <si>
    <t>T60</t>
  </si>
  <si>
    <t>Fort Collins</t>
  </si>
  <si>
    <t>Appliances</t>
  </si>
  <si>
    <t>Belkin 6 Outlet Metallic Surge Strip</t>
  </si>
  <si>
    <t>Bush Westfield Collection Bookcases, Fully Assembled</t>
  </si>
  <si>
    <t>Richland</t>
  </si>
  <si>
    <t>Xerox 1952</t>
  </si>
  <si>
    <t>Okidata ML320 Series Turbo Dot Matrix Printers</t>
  </si>
  <si>
    <t>Lebanon</t>
  </si>
  <si>
    <t>Fellowes Mobile Numeric Keypad, Graphite</t>
  </si>
  <si>
    <t>Baton Rouge</t>
  </si>
  <si>
    <t>Polycom ViaVideo™ Desktop Video Communications Unit</t>
  </si>
  <si>
    <t>Staples Wirebound Steno Books, 6" x 9", 12/Pack</t>
  </si>
  <si>
    <t>Staples® General Use 3-Ring Binders</t>
  </si>
  <si>
    <t>Fort Lee</t>
  </si>
  <si>
    <t>Zoom V.92 USB External Faxmodem</t>
  </si>
  <si>
    <t>San Francisco</t>
  </si>
  <si>
    <t>Arlington</t>
  </si>
  <si>
    <t>Riverleaf Stik-Withit® Designer Note Cubes®</t>
  </si>
  <si>
    <t>Gainesville</t>
  </si>
  <si>
    <t>Avery Arch Ring Binders</t>
  </si>
  <si>
    <t>Arlington Heights</t>
  </si>
  <si>
    <t>APC 7 Outlet Network SurgeArrest Surge Protector</t>
  </si>
  <si>
    <t>Aurora</t>
  </si>
  <si>
    <t>Fellowes 17-key keypad for PS/2 interface</t>
  </si>
  <si>
    <t>StarTAC ST7762</t>
  </si>
  <si>
    <t>Panasonic KX-P2130 Dot Matrix Printer</t>
  </si>
  <si>
    <t>Wilson Jones® Four-Pocket Poly Binders</t>
  </si>
  <si>
    <t>Xerox 1996</t>
  </si>
  <si>
    <t>Lehi</t>
  </si>
  <si>
    <t>Acco® Hot Clips™ Clips to Go</t>
  </si>
  <si>
    <t>Overland Park</t>
  </si>
  <si>
    <t>Detroit</t>
  </si>
  <si>
    <t>Xerox 1933</t>
  </si>
  <si>
    <t>Bartlesville</t>
  </si>
  <si>
    <t>Imation 3.5" Unformatted DS/HD Diskettes, 10/Box</t>
  </si>
  <si>
    <t>Super Bands, 12/Pack</t>
  </si>
  <si>
    <t>Troy</t>
  </si>
  <si>
    <t>3M Organizer Strips</t>
  </si>
  <si>
    <t>Seth Thomas 8 1/2" Cubicle Clock</t>
  </si>
  <si>
    <t>Newell 309</t>
  </si>
  <si>
    <t>Utica</t>
  </si>
  <si>
    <t>Kleencut® Forged Office Shears by Acme United Corporation</t>
  </si>
  <si>
    <t>Hewlett-Packard 2600DN Business Color Inkjet Printer</t>
  </si>
  <si>
    <t>Murray</t>
  </si>
  <si>
    <t>Global Push Button Manager's Chair, Indigo</t>
  </si>
  <si>
    <t>Mint Hill</t>
  </si>
  <si>
    <t>Fellowes Black Plastic Comb Bindings</t>
  </si>
  <si>
    <t>Orland Park</t>
  </si>
  <si>
    <t>Eldon Expressions™ Desk Accessory, Wood Pencil Holder, Oak</t>
  </si>
  <si>
    <t>Sanyo 2.5 Cubic Foot Mid-Size Office Refrigerators</t>
  </si>
  <si>
    <t>Newton</t>
  </si>
  <si>
    <t>Lock-Up Easel 'Spel-Binder'</t>
  </si>
  <si>
    <t>Memorex 4.7GB DVD+R, 3/Pack</t>
  </si>
  <si>
    <t>Eldon Spacemaker® Box, Quick-Snap Lid, Clear</t>
  </si>
  <si>
    <t>Okidata ML390 Turbo Dot Matrix Printers</t>
  </si>
  <si>
    <t>Louisville</t>
  </si>
  <si>
    <t>Xerox Blank Computer Paper</t>
  </si>
  <si>
    <t>Fountain</t>
  </si>
  <si>
    <t>Bevis Round Bullnose 29" High Table Top</t>
  </si>
  <si>
    <t>Grand Junction</t>
  </si>
  <si>
    <t>Storex Dura Pro™ Binders</t>
  </si>
  <si>
    <t>270c</t>
  </si>
  <si>
    <t>BPI Conference Tables</t>
  </si>
  <si>
    <t>Maryville</t>
  </si>
  <si>
    <t>Avery 514</t>
  </si>
  <si>
    <t>DIXON Oriole® Pencils</t>
  </si>
  <si>
    <t>Richfield</t>
  </si>
  <si>
    <t>StarTAC Series</t>
  </si>
  <si>
    <t>Global Adaptabilities™ Conference Tables</t>
  </si>
  <si>
    <t>Highlands Ranch</t>
  </si>
  <si>
    <t>Acme® Elite Stainless Steel Scissors</t>
  </si>
  <si>
    <t>Hanover</t>
  </si>
  <si>
    <t>Maxell Pro 80 Minute CD-R, 10/Pack</t>
  </si>
  <si>
    <t>Seminole</t>
  </si>
  <si>
    <t>Newell 340</t>
  </si>
  <si>
    <t>Santa Fe</t>
  </si>
  <si>
    <t>Hon iLevel™ Computer Training Table</t>
  </si>
  <si>
    <t>Cleveland Heights</t>
  </si>
  <si>
    <t>Keytronic 105-Key Spanish Keyboard</t>
  </si>
  <si>
    <t>San Antonio</t>
  </si>
  <si>
    <t>Xerox 214</t>
  </si>
  <si>
    <t>Tennsco Commercial Shelving</t>
  </si>
  <si>
    <t>Staples Brown Kraft Recycled Clasp Envelopes</t>
  </si>
  <si>
    <t>Flagstaff</t>
  </si>
  <si>
    <t>Eldon Executive Woodline II Cherry Finish Desk Accessories</t>
  </si>
  <si>
    <t>Gilbert</t>
  </si>
  <si>
    <t>Tenex Antistatic Computer Chair Mats</t>
  </si>
  <si>
    <t>Xerox 1922</t>
  </si>
  <si>
    <t>Hewlett-Packard Deskjet 940 REFURBISHED Color Inkjet Printer</t>
  </si>
  <si>
    <t>Forest Park</t>
  </si>
  <si>
    <t>Charlotte</t>
  </si>
  <si>
    <t>Recycled Premium Regency Composition Covers</t>
  </si>
  <si>
    <t>Fairfield</t>
  </si>
  <si>
    <t>Brites Rubber Bands, 1 1/2 oz. Box</t>
  </si>
  <si>
    <t>Newington</t>
  </si>
  <si>
    <t>Accessory36</t>
  </si>
  <si>
    <t>Belleville</t>
  </si>
  <si>
    <t>Newark</t>
  </si>
  <si>
    <t>ACCOHIDE® Binder by Acco</t>
  </si>
  <si>
    <t>Shawnee</t>
  </si>
  <si>
    <t>O'Sullivan Elevations Bookcase, Cherry Finish</t>
  </si>
  <si>
    <t>Memorex 4.7GB DVD+RW, 3/Pack</t>
  </si>
  <si>
    <t>Wichita</t>
  </si>
  <si>
    <t>MicroTAC 650</t>
  </si>
  <si>
    <t>Imation 3.5", DISKETTE 44766 HGHLD3.52HD/FM, 10/Pack</t>
  </si>
  <si>
    <t>Loveland</t>
  </si>
  <si>
    <t>80 Minute Slim Jewel Case CD-R , 10/Pack - Staples</t>
  </si>
  <si>
    <t>Pikesville</t>
  </si>
  <si>
    <t>Accessory34</t>
  </si>
  <si>
    <t>High Speed Automatic Electric Letter Opener</t>
  </si>
  <si>
    <t>Belchertown</t>
  </si>
  <si>
    <t>Eldon® Expressions™ Wood Desk Accessories, Oak</t>
  </si>
  <si>
    <t>Lemon Grove</t>
  </si>
  <si>
    <t>Decoflex Hanging Personal Folder File, Blue</t>
  </si>
  <si>
    <t>Potomac</t>
  </si>
  <si>
    <t>Bell Sonecor JB700 Caller ID</t>
  </si>
  <si>
    <t>Batavia</t>
  </si>
  <si>
    <t>Sanford</t>
  </si>
  <si>
    <t>Acco Keyboard-In-A-Box®</t>
  </si>
  <si>
    <t>Goffstown</t>
  </si>
  <si>
    <t>SAFCO Arco Folding Chair</t>
  </si>
  <si>
    <t>Medford</t>
  </si>
  <si>
    <t>Eldon® 200 Class™ Desk Accessories, Burgundy</t>
  </si>
  <si>
    <t>Hoover Commercial Soft Guard Upright Vacuum And Disposable Filtration Bags</t>
  </si>
  <si>
    <t>Columbus</t>
  </si>
  <si>
    <t>Master Giant Foot® Doorstop, Safety Yellow</t>
  </si>
  <si>
    <t>Avery Hi-Liter GlideStik Fluorescent Highlighter, Yellow Ink</t>
  </si>
  <si>
    <t>Miami</t>
  </si>
  <si>
    <t>Anderson Hickey Conga Table Tops &amp; Accessories</t>
  </si>
  <si>
    <t>Bangor</t>
  </si>
  <si>
    <t>Portland</t>
  </si>
  <si>
    <t>GE 48" Fluorescent Tube, Cool White Energy Saver, 34 Watts, 30/Box</t>
  </si>
  <si>
    <t>Watertown</t>
  </si>
  <si>
    <t>Maxell 3.5" DS/HD IBM-Formatted Diskettes, 10/Pack</t>
  </si>
  <si>
    <t>Glendale</t>
  </si>
  <si>
    <t>Xerox 1898</t>
  </si>
  <si>
    <t>Bevis 36 x 72 Conference Tables</t>
  </si>
  <si>
    <t>Kingman</t>
  </si>
  <si>
    <t>M70</t>
  </si>
  <si>
    <t>King of Prussia</t>
  </si>
  <si>
    <t>Sanyo Counter Height Refrigerator with Crisper, 3.6 Cubic Foot, Stainless Steel/Black</t>
  </si>
  <si>
    <t>Cranston</t>
  </si>
  <si>
    <t>Executive Impressions 13" Clairmont Wall Clock</t>
  </si>
  <si>
    <t>Oakland</t>
  </si>
  <si>
    <t>1726 Digital Answering Machine</t>
  </si>
  <si>
    <t>Lewiston</t>
  </si>
  <si>
    <t>Everett</t>
  </si>
  <si>
    <t>O'Sullivan Living Dimensions 3-Shelf Bookcases</t>
  </si>
  <si>
    <t>Xerox 1971</t>
  </si>
  <si>
    <t>Accessory4</t>
  </si>
  <si>
    <t>Morristown</t>
  </si>
  <si>
    <t>Deluxe Rollaway Locking File with Drawer</t>
  </si>
  <si>
    <t>Bloomington</t>
  </si>
  <si>
    <t>Pressboard Data Binder, Crimson, 12" X 8 1/2"</t>
  </si>
  <si>
    <t>Drexel Hill</t>
  </si>
  <si>
    <t>GBC Instant Index™ System for Binding Systems</t>
  </si>
  <si>
    <t>Grand Island</t>
  </si>
  <si>
    <t>Xerox 4200 Series MultiUse Premium Copy Paper (20Lb. and 84 Bright)</t>
  </si>
  <si>
    <t>Kearney</t>
  </si>
  <si>
    <t>T18</t>
  </si>
  <si>
    <t>Lincoln</t>
  </si>
  <si>
    <t>Fellowes EZ Multi-Media Keyboard</t>
  </si>
  <si>
    <t>Clayton</t>
  </si>
  <si>
    <t>Telescoping Adjustable Floor Lamp</t>
  </si>
  <si>
    <t>Filing/Storage Totes and Swivel Casters</t>
  </si>
  <si>
    <t>Auburn</t>
  </si>
  <si>
    <t>Logitech Access Keyboard</t>
  </si>
  <si>
    <t>Albemarle</t>
  </si>
  <si>
    <t>Xerox 1929</t>
  </si>
  <si>
    <t>Cuyahoga Falls</t>
  </si>
  <si>
    <t>Howard Miller 16" Diameter Gallery Wall Clock</t>
  </si>
  <si>
    <t>Dayton</t>
  </si>
  <si>
    <t>Rediform S.O.S. Phone Message Books</t>
  </si>
  <si>
    <t>South Vineland</t>
  </si>
  <si>
    <t>Binding Machine Supplies</t>
  </si>
  <si>
    <t>San Juan</t>
  </si>
  <si>
    <t>Hot File® 7-Pocket, Floor Stand</t>
  </si>
  <si>
    <t>Polycom Soundstation EX Audio-Conferencing Telephone, Black</t>
  </si>
  <si>
    <t>Elizabeth</t>
  </si>
  <si>
    <t>Carson City</t>
  </si>
  <si>
    <t>Accessory20</t>
  </si>
  <si>
    <t>Manila Recycled Extra-Heavyweight Clasp Envelopes, 6" x 9"</t>
  </si>
  <si>
    <t>Lunenburg</t>
  </si>
  <si>
    <t>Urbana</t>
  </si>
  <si>
    <t>14-7/8 x 11 Blue Bar Computer Printout Paper</t>
  </si>
  <si>
    <t>Norfolk</t>
  </si>
  <si>
    <t>Newell 333</t>
  </si>
  <si>
    <t>Office Star - Contemporary Task Swivel chair with 2-way adjustable arms, Plum</t>
  </si>
  <si>
    <t>Roseville</t>
  </si>
  <si>
    <t>2160i</t>
  </si>
  <si>
    <t>210 Trimline Phone, White</t>
  </si>
  <si>
    <t>Los Altos</t>
  </si>
  <si>
    <t>Vinyl Sectional Post Binders</t>
  </si>
  <si>
    <t>Los Banos</t>
  </si>
  <si>
    <t>Seth Thomas 14" Putty-Colored Wall Clock</t>
  </si>
  <si>
    <t>Los Gatos</t>
  </si>
  <si>
    <t>Tenex Personal Self-Stacking Standard File Box, Black/Gray</t>
  </si>
  <si>
    <t>Millville</t>
  </si>
  <si>
    <t>Economy Rollaway Files</t>
  </si>
  <si>
    <t>West Hollywood</t>
  </si>
  <si>
    <t>Panasonic KX-P3200 Dot Matrix Printer</t>
  </si>
  <si>
    <t>Bellingham</t>
  </si>
  <si>
    <t>Tensor "Hersey Kiss" Styled Floor Lamp</t>
  </si>
  <si>
    <t>Beverly</t>
  </si>
  <si>
    <t>Holmes Odor Grabber</t>
  </si>
  <si>
    <t>Hanson</t>
  </si>
  <si>
    <t>Hawthorne</t>
  </si>
  <si>
    <t>Xerox 188</t>
  </si>
  <si>
    <t>Trenton</t>
  </si>
  <si>
    <t>Motorola SB4200 Cable Modem</t>
  </si>
  <si>
    <t>Atlanta</t>
  </si>
  <si>
    <t>Randallstown</t>
  </si>
  <si>
    <t>Soma de Profit</t>
  </si>
  <si>
    <t>Rótulos de Linha</t>
  </si>
  <si>
    <t>Total Geral</t>
  </si>
  <si>
    <t>Contagem de Product Name</t>
  </si>
  <si>
    <t>Contagem de Customer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</si>
</sst>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9" x14ac:knownFonts="1">
    <font>
      <sz val="11"/>
      <color theme="1"/>
      <name val="Aptos Narrow"/>
      <family val="2"/>
      <scheme val="minor"/>
    </font>
    <font>
      <sz val="10"/>
      <name val="MS Sans Serif"/>
    </font>
    <font>
      <b/>
      <sz val="10"/>
      <name val="MS Sans Serif"/>
    </font>
    <font>
      <sz val="11"/>
      <color rgb="FFFF0000"/>
      <name val="Aptos Narrow"/>
      <family val="2"/>
      <scheme val="minor"/>
    </font>
    <font>
      <u/>
      <sz val="11"/>
      <color rgb="FFFF0000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28"/>
      <color theme="0"/>
      <name val="Montserrat"/>
    </font>
    <font>
      <sz val="11"/>
      <color theme="2" tint="-0.749992370372631"/>
      <name val="Montserrat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0.749992370372631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3" fillId="4" borderId="0" xfId="0" applyFont="1" applyFill="1"/>
    <xf numFmtId="0" fontId="4" fillId="4" borderId="0" xfId="0" applyFont="1" applyFill="1"/>
    <xf numFmtId="0" fontId="0" fillId="0" borderId="0" xfId="0" pivotButton="1"/>
    <xf numFmtId="0" fontId="5" fillId="0" borderId="0" xfId="0" applyFont="1"/>
    <xf numFmtId="0" fontId="0" fillId="0" borderId="0" xfId="0" applyAlignment="1">
      <alignment horizontal="center"/>
    </xf>
    <xf numFmtId="0" fontId="8" fillId="4" borderId="0" xfId="0" applyFont="1" applyFill="1"/>
    <xf numFmtId="0" fontId="7" fillId="4" borderId="0" xfId="0" applyFont="1" applyFill="1" applyAlignment="1">
      <alignment horizontal="center"/>
    </xf>
  </cellXfs>
  <cellStyles count="1">
    <cellStyle name="Normal" xfId="0" builtinId="0"/>
  </cellStyles>
  <dxfs count="2">
    <dxf>
      <alignment horizontal="center"/>
    </dxf>
    <dxf>
      <font>
        <color theme="0"/>
        <name val="Montserrat"/>
      </font>
      <fill>
        <patternFill>
          <bgColor theme="3" tint="9.9948118533890809E-2"/>
        </patternFill>
      </fill>
    </dxf>
  </dxfs>
  <tableStyles count="1" defaultTableStyle="TableStyleMedium2" defaultPivotStyle="PivotStyleLight16">
    <tableStyle name="Estilo Dashboard" pivot="0" table="0" count="3" xr9:uid="{6945A626-A6DB-49D0-BD26-F98544918DFB}">
      <tableStyleElement type="wholeTable" dxfId="1"/>
    </tableStyle>
  </tableStyles>
  <extLst>
    <ext xmlns:x14="http://schemas.microsoft.com/office/spreadsheetml/2009/9/main" uri="{46F421CA-312F-682f-3DD2-61675219B42D}">
      <x14:dxfs count="2">
        <dxf>
          <font>
            <color theme="3" tint="0.499984740745262"/>
            <name val="Montserrat"/>
          </font>
          <fill>
            <patternFill>
              <bgColor rgb="FF002060"/>
            </patternFill>
          </fill>
        </dxf>
        <dxf>
          <font>
            <color theme="3" tint="0.499984740745262"/>
            <name val="Montserrat"/>
          </font>
          <fill>
            <patternFill>
              <bgColor rgb="FF002060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ashboard">
          <x14:slicerStyleElements>
            <x14:slicerStyleElement type="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microsoft.com/office/2007/relationships/slicerCache" Target="slicerCaches/slicerCach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[Pratica_Dashboard_2024.xlsm]Tabela_dinamica!Tabela dinâmica2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800">
                <a:solidFill>
                  <a:schemeClr val="bg1"/>
                </a:solidFill>
                <a:latin typeface="Montserrat" pitchFamily="2" charset="0"/>
              </a:rPr>
              <a:t>Lucro</a:t>
            </a:r>
            <a:r>
              <a:rPr lang="en-US" sz="1800" baseline="0">
                <a:solidFill>
                  <a:schemeClr val="bg1"/>
                </a:solidFill>
                <a:latin typeface="Montserrat" pitchFamily="2" charset="0"/>
              </a:rPr>
              <a:t> por Tipo de Cliente</a:t>
            </a:r>
            <a:endParaRPr lang="en-US" sz="1800">
              <a:solidFill>
                <a:schemeClr val="bg1"/>
              </a:solidFill>
              <a:latin typeface="Montserrat" pitchFamily="2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Tabela_dinamica!$G$11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Tabela_dinamica!$F$12:$F$13</c:f>
              <c:strCache>
                <c:ptCount val="1"/>
                <c:pt idx="0">
                  <c:v>Small Business</c:v>
                </c:pt>
              </c:strCache>
            </c:strRef>
          </c:cat>
          <c:val>
            <c:numRef>
              <c:f>Tabela_dinamica!$G$12:$G$13</c:f>
              <c:numCache>
                <c:formatCode>General</c:formatCode>
                <c:ptCount val="1"/>
                <c:pt idx="0">
                  <c:v>-556.80960000000005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E-4C60-884C-C1147D2E62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47812688"/>
        <c:axId val="447817008"/>
      </c:barChart>
      <c:catAx>
        <c:axId val="4478126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7817008"/>
        <c:crosses val="autoZero"/>
        <c:auto val="1"/>
        <c:lblAlgn val="ctr"/>
        <c:lblOffset val="100"/>
        <c:noMultiLvlLbl val="0"/>
      </c:catAx>
      <c:valAx>
        <c:axId val="44781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7812688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[Pratica_Dashboard_2024.xlsm]Tabela_dinamica!Tabela dinâmica1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Tabela_dinamica!$D$11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Tabela_dinamica!$C$12:$C$13</c:f>
              <c:strCache>
                <c:ptCount val="1"/>
                <c:pt idx="0">
                  <c:v>Regular Air</c:v>
                </c:pt>
              </c:strCache>
            </c:strRef>
          </c:cat>
          <c:val>
            <c:numRef>
              <c:f>Tabela_dinamica!$D$12:$D$13</c:f>
              <c:numCache>
                <c:formatCode>General</c:formatCode>
                <c:ptCount val="1"/>
                <c:pt idx="0">
                  <c:v>-556.80960000000005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A3-4B1B-BD7A-A601B85789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7820848"/>
        <c:axId val="447829488"/>
      </c:barChart>
      <c:catAx>
        <c:axId val="447820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7829488"/>
        <c:crosses val="autoZero"/>
        <c:auto val="1"/>
        <c:lblAlgn val="ctr"/>
        <c:lblOffset val="100"/>
        <c:noMultiLvlLbl val="0"/>
      </c:catAx>
      <c:valAx>
        <c:axId val="44782948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47820848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[Pratica_Dashboard_2024.xlsm]Tabela_dinamica!Tabela dinâmica3</c:name>
    <c:fmtId val="8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  <c:spPr>
          <a:pattFill prst="ltUpDiag">
            <a:fgClr>
              <a:schemeClr val="accent4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4"/>
            </a:outerShdw>
          </a:effectLst>
        </c:spPr>
        <c:marker>
          <c:spPr>
            <a:solidFill>
              <a:schemeClr val="accent4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</c:pivotFmt>
      <c:pivotFmt>
        <c:idx val="6"/>
      </c:pivotFmt>
      <c:pivotFmt>
        <c:idx val="7"/>
      </c:pivotFmt>
      <c:pivotFmt>
        <c:idx val="8"/>
        <c:spPr>
          <a:pattFill prst="ltUpDiag">
            <a:fgClr>
              <a:schemeClr val="accent4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4"/>
            </a:outerShdw>
          </a:effectLst>
        </c:spPr>
        <c:marker>
          <c:spPr>
            <a:solidFill>
              <a:schemeClr val="accent4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4"/>
            </a:outerShdw>
          </a:effectLst>
        </c:spPr>
        <c:marker>
          <c:symbol val="circle"/>
          <c:size val="5"/>
          <c:spPr>
            <a:solidFill>
              <a:schemeClr val="accent4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Tabela_dinamica!$J$11</c:f>
              <c:strCache>
                <c:ptCount val="1"/>
                <c:pt idx="0">
                  <c:v>Total</c:v>
                </c:pt>
              </c:strCache>
            </c:strRef>
          </c:tx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4"/>
              </a:outerShdw>
            </a:effectLst>
          </c:spPr>
          <c:marker>
            <c:symbol val="circle"/>
            <c:size val="5"/>
            <c:spPr>
              <a:solidFill>
                <a:schemeClr val="accent4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Tabela_dinamica!$I$12:$I$13</c:f>
              <c:strCache>
                <c:ptCount val="1"/>
                <c:pt idx="0">
                  <c:v>Furniture</c:v>
                </c:pt>
              </c:strCache>
            </c:strRef>
          </c:cat>
          <c:val>
            <c:numRef>
              <c:f>Tabela_dinamica!$J$12:$J$13</c:f>
              <c:numCache>
                <c:formatCode>General</c:formatCode>
                <c:ptCount val="1"/>
                <c:pt idx="0">
                  <c:v>-556.80960000000005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F0F-4103-AFAB-0D4FDFA5C3AE}"/>
            </c:ext>
          </c:extLst>
        </c:ser>
        <c:dLbls>
          <c:dLblPos val="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marker val="1"/>
        <c:smooth val="0"/>
        <c:axId val="447813648"/>
        <c:axId val="447830448"/>
      </c:lineChart>
      <c:catAx>
        <c:axId val="447813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Montserrat" pitchFamily="2" charset="0"/>
                <a:ea typeface="+mn-ea"/>
                <a:cs typeface="+mn-cs"/>
              </a:defRPr>
            </a:pPr>
            <a:endParaRPr lang="pt-BR"/>
          </a:p>
        </c:txPr>
        <c:crossAx val="447830448"/>
        <c:crosses val="autoZero"/>
        <c:auto val="1"/>
        <c:lblAlgn val="ctr"/>
        <c:lblOffset val="100"/>
        <c:noMultiLvlLbl val="0"/>
      </c:catAx>
      <c:valAx>
        <c:axId val="4478304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Montserrat" pitchFamily="2" charset="0"/>
                <a:ea typeface="+mn-ea"/>
                <a:cs typeface="+mn-cs"/>
              </a:defRPr>
            </a:pPr>
            <a:endParaRPr lang="pt-BR"/>
          </a:p>
        </c:txPr>
        <c:crossAx val="447813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/>
              </a:solidFill>
              <a:latin typeface="Montserrat" pitchFamily="2" charset="0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533400</xdr:colOff>
      <xdr:row>3</xdr:row>
      <xdr:rowOff>156141</xdr:rowOff>
    </xdr:from>
    <xdr:to>
      <xdr:col>14</xdr:col>
      <xdr:colOff>247650</xdr:colOff>
      <xdr:row>9</xdr:row>
      <xdr:rowOff>180975</xdr:rowOff>
    </xdr:to>
    <xdr:sp macro="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5410200" y="727641"/>
          <a:ext cx="3371850" cy="1167834"/>
        </a:xfrm>
        <a:prstGeom prst="roundRect">
          <a:avLst/>
        </a:prstGeom>
        <a:solidFill>
          <a:schemeClr val="tx2">
            <a:lumMod val="90000"/>
            <a:lumOff val="1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just"/>
          <a:endParaRPr lang="pt-BR" sz="1100"/>
        </a:p>
      </xdr:txBody>
    </xdr:sp>
    <xdr:clientData/>
  </xdr:twoCellAnchor>
  <xdr:twoCellAnchor>
    <xdr:from>
      <xdr:col>4</xdr:col>
      <xdr:colOff>174251</xdr:colOff>
      <xdr:row>3</xdr:row>
      <xdr:rowOff>154081</xdr:rowOff>
    </xdr:from>
    <xdr:to>
      <xdr:col>8</xdr:col>
      <xdr:colOff>81643</xdr:colOff>
      <xdr:row>46</xdr:row>
      <xdr:rowOff>54430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2623537" y="725581"/>
          <a:ext cx="2356677" cy="8132670"/>
        </a:xfrm>
        <a:prstGeom prst="roundRect">
          <a:avLst/>
        </a:prstGeom>
        <a:solidFill>
          <a:schemeClr val="tx2">
            <a:lumMod val="90000"/>
            <a:lumOff val="1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302558</xdr:colOff>
      <xdr:row>4</xdr:row>
      <xdr:rowOff>145676</xdr:rowOff>
    </xdr:from>
    <xdr:to>
      <xdr:col>7</xdr:col>
      <xdr:colOff>437029</xdr:colOff>
      <xdr:row>6</xdr:row>
      <xdr:rowOff>145676</xdr:rowOff>
    </xdr:to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2723029" y="907676"/>
          <a:ext cx="1949824" cy="381000"/>
        </a:xfrm>
        <a:prstGeom prst="rect">
          <a:avLst/>
        </a:prstGeom>
        <a:solidFill>
          <a:schemeClr val="tx2">
            <a:lumMod val="90000"/>
            <a:lumOff val="1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800">
              <a:solidFill>
                <a:schemeClr val="bg1"/>
              </a:solidFill>
              <a:latin typeface="Montserrat" pitchFamily="2" charset="0"/>
            </a:rPr>
            <a:t>Cidades</a:t>
          </a:r>
          <a:endParaRPr lang="pt-BR" sz="2000">
            <a:solidFill>
              <a:schemeClr val="bg1"/>
            </a:solidFill>
            <a:latin typeface="Montserrat" pitchFamily="2" charset="0"/>
          </a:endParaRPr>
        </a:p>
      </xdr:txBody>
    </xdr:sp>
    <xdr:clientData/>
  </xdr:twoCellAnchor>
  <xdr:twoCellAnchor>
    <xdr:from>
      <xdr:col>8</xdr:col>
      <xdr:colOff>367474</xdr:colOff>
      <xdr:row>28</xdr:row>
      <xdr:rowOff>123825</xdr:rowOff>
    </xdr:from>
    <xdr:to>
      <xdr:col>15</xdr:col>
      <xdr:colOff>381000</xdr:colOff>
      <xdr:row>45</xdr:row>
      <xdr:rowOff>99332</xdr:rowOff>
    </xdr:to>
    <xdr:sp macro="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5208415" y="5457825"/>
          <a:ext cx="4249350" cy="3214007"/>
        </a:xfrm>
        <a:prstGeom prst="roundRect">
          <a:avLst/>
        </a:prstGeom>
        <a:solidFill>
          <a:schemeClr val="tx2">
            <a:lumMod val="90000"/>
            <a:lumOff val="1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just"/>
          <a:endParaRPr lang="pt-BR" sz="1100"/>
        </a:p>
      </xdr:txBody>
    </xdr:sp>
    <xdr:clientData/>
  </xdr:twoCellAnchor>
  <xdr:twoCellAnchor>
    <xdr:from>
      <xdr:col>16</xdr:col>
      <xdr:colOff>261337</xdr:colOff>
      <xdr:row>28</xdr:row>
      <xdr:rowOff>123825</xdr:rowOff>
    </xdr:from>
    <xdr:to>
      <xdr:col>23</xdr:col>
      <xdr:colOff>274863</xdr:colOff>
      <xdr:row>45</xdr:row>
      <xdr:rowOff>99332</xdr:rowOff>
    </xdr:to>
    <xdr:sp macro="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10058480" y="5457825"/>
          <a:ext cx="4299776" cy="3214007"/>
        </a:xfrm>
        <a:prstGeom prst="roundRect">
          <a:avLst/>
        </a:prstGeom>
        <a:solidFill>
          <a:schemeClr val="tx2">
            <a:lumMod val="90000"/>
            <a:lumOff val="1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just"/>
          <a:endParaRPr lang="pt-BR" sz="1100"/>
        </a:p>
      </xdr:txBody>
    </xdr:sp>
    <xdr:clientData/>
  </xdr:twoCellAnchor>
  <xdr:twoCellAnchor>
    <xdr:from>
      <xdr:col>8</xdr:col>
      <xdr:colOff>367393</xdr:colOff>
      <xdr:row>10</xdr:row>
      <xdr:rowOff>180975</xdr:rowOff>
    </xdr:from>
    <xdr:to>
      <xdr:col>23</xdr:col>
      <xdr:colOff>326570</xdr:colOff>
      <xdr:row>27</xdr:row>
      <xdr:rowOff>156482</xdr:rowOff>
    </xdr:to>
    <xdr:sp macro="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5265964" y="2085975"/>
          <a:ext cx="9143999" cy="3214007"/>
        </a:xfrm>
        <a:prstGeom prst="roundRect">
          <a:avLst/>
        </a:prstGeom>
        <a:solidFill>
          <a:schemeClr val="tx2">
            <a:lumMod val="90000"/>
            <a:lumOff val="1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just"/>
          <a:endParaRPr lang="pt-BR" sz="1100"/>
        </a:p>
      </xdr:txBody>
    </xdr:sp>
    <xdr:clientData/>
  </xdr:twoCellAnchor>
  <xdr:twoCellAnchor>
    <xdr:from>
      <xdr:col>9</xdr:col>
      <xdr:colOff>182687</xdr:colOff>
      <xdr:row>29</xdr:row>
      <xdr:rowOff>42919</xdr:rowOff>
    </xdr:from>
    <xdr:to>
      <xdr:col>15</xdr:col>
      <xdr:colOff>0</xdr:colOff>
      <xdr:row>31</xdr:row>
      <xdr:rowOff>8283</xdr:rowOff>
    </xdr:to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 txBox="1"/>
      </xdr:nvSpPr>
      <xdr:spPr>
        <a:xfrm>
          <a:off x="5698904" y="5608832"/>
          <a:ext cx="3494792" cy="346364"/>
        </a:xfrm>
        <a:prstGeom prst="rect">
          <a:avLst/>
        </a:prstGeom>
        <a:solidFill>
          <a:schemeClr val="tx2">
            <a:lumMod val="90000"/>
            <a:lumOff val="1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800">
              <a:solidFill>
                <a:schemeClr val="bg1"/>
              </a:solidFill>
              <a:latin typeface="Montserrat" pitchFamily="2" charset="0"/>
            </a:rPr>
            <a:t>Lucro</a:t>
          </a:r>
          <a:r>
            <a:rPr lang="pt-BR" sz="1800" baseline="0">
              <a:solidFill>
                <a:schemeClr val="bg1"/>
              </a:solidFill>
              <a:latin typeface="Montserrat" pitchFamily="2" charset="0"/>
            </a:rPr>
            <a:t> por Tipo de Entrega</a:t>
          </a:r>
          <a:endParaRPr lang="pt-BR" sz="1800">
            <a:solidFill>
              <a:schemeClr val="bg1"/>
            </a:solidFill>
            <a:latin typeface="Montserrat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257175</xdr:colOff>
          <xdr:row>5</xdr:row>
          <xdr:rowOff>47625</xdr:rowOff>
        </xdr:from>
        <xdr:to>
          <xdr:col>23</xdr:col>
          <xdr:colOff>514350</xdr:colOff>
          <xdr:row>8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302558</xdr:colOff>
      <xdr:row>6</xdr:row>
      <xdr:rowOff>145676</xdr:rowOff>
    </xdr:from>
    <xdr:to>
      <xdr:col>7</xdr:col>
      <xdr:colOff>593911</xdr:colOff>
      <xdr:row>44</xdr:row>
      <xdr:rowOff>168087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City 1">
              <a:extLst>
                <a:ext uri="{FF2B5EF4-FFF2-40B4-BE49-F238E27FC236}">
                  <a16:creationId xmlns:a16="http://schemas.microsoft.com/office/drawing/2014/main" id="{00000000-0008-0000-0200-00000D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ity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751844" y="1329497"/>
              <a:ext cx="2128317" cy="726141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9</xdr:col>
      <xdr:colOff>0</xdr:colOff>
      <xdr:row>11</xdr:row>
      <xdr:rowOff>56029</xdr:rowOff>
    </xdr:from>
    <xdr:to>
      <xdr:col>23</xdr:col>
      <xdr:colOff>112058</xdr:colOff>
      <xdr:row>27</xdr:row>
      <xdr:rowOff>11206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515471</xdr:colOff>
      <xdr:row>31</xdr:row>
      <xdr:rowOff>44824</xdr:rowOff>
    </xdr:from>
    <xdr:to>
      <xdr:col>15</xdr:col>
      <xdr:colOff>257735</xdr:colOff>
      <xdr:row>44</xdr:row>
      <xdr:rowOff>44823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351692</xdr:colOff>
      <xdr:row>31</xdr:row>
      <xdr:rowOff>76200</xdr:rowOff>
    </xdr:from>
    <xdr:to>
      <xdr:col>23</xdr:col>
      <xdr:colOff>227135</xdr:colOff>
      <xdr:row>44</xdr:row>
      <xdr:rowOff>133349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590630</xdr:colOff>
      <xdr:row>29</xdr:row>
      <xdr:rowOff>28575</xdr:rowOff>
    </xdr:from>
    <xdr:to>
      <xdr:col>22</xdr:col>
      <xdr:colOff>411256</xdr:colOff>
      <xdr:row>30</xdr:row>
      <xdr:rowOff>184439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10397239" y="5594488"/>
          <a:ext cx="3498104" cy="346364"/>
        </a:xfrm>
        <a:prstGeom prst="rect">
          <a:avLst/>
        </a:prstGeom>
        <a:solidFill>
          <a:schemeClr val="tx2">
            <a:lumMod val="90000"/>
            <a:lumOff val="1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800">
              <a:solidFill>
                <a:schemeClr val="bg1"/>
              </a:solidFill>
              <a:latin typeface="Montserrat" pitchFamily="2" charset="0"/>
            </a:rPr>
            <a:t>Lucro</a:t>
          </a:r>
          <a:r>
            <a:rPr lang="pt-BR" sz="1800" baseline="0">
              <a:solidFill>
                <a:schemeClr val="bg1"/>
              </a:solidFill>
              <a:latin typeface="Montserrat" pitchFamily="2" charset="0"/>
            </a:rPr>
            <a:t> por Tipo de Produto</a:t>
          </a:r>
          <a:endParaRPr lang="pt-BR" sz="1800">
            <a:solidFill>
              <a:schemeClr val="bg1"/>
            </a:solidFill>
            <a:latin typeface="Montserrat" pitchFamily="2" charset="0"/>
          </a:endParaRPr>
        </a:p>
      </xdr:txBody>
    </xdr:sp>
    <xdr:clientData/>
  </xdr:twoCellAnchor>
  <xdr:twoCellAnchor>
    <xdr:from>
      <xdr:col>8</xdr:col>
      <xdr:colOff>571500</xdr:colOff>
      <xdr:row>4</xdr:row>
      <xdr:rowOff>40341</xdr:rowOff>
    </xdr:from>
    <xdr:to>
      <xdr:col>14</xdr:col>
      <xdr:colOff>156882</xdr:colOff>
      <xdr:row>6</xdr:row>
      <xdr:rowOff>40341</xdr:rowOff>
    </xdr:to>
    <xdr:sp macro="" textlink="">
      <xdr:nvSpPr>
        <xdr:cNvPr id="23" name="CaixaDeTexto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 txBox="1"/>
      </xdr:nvSpPr>
      <xdr:spPr>
        <a:xfrm>
          <a:off x="5412441" y="802341"/>
          <a:ext cx="3216088" cy="381000"/>
        </a:xfrm>
        <a:prstGeom prst="rect">
          <a:avLst/>
        </a:prstGeom>
        <a:solidFill>
          <a:schemeClr val="tx2">
            <a:lumMod val="90000"/>
            <a:lumOff val="1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800" baseline="0">
              <a:solidFill>
                <a:schemeClr val="bg1"/>
              </a:solidFill>
              <a:latin typeface="Montserrat" pitchFamily="2" charset="0"/>
            </a:rPr>
            <a:t>Tipos de Produtos</a:t>
          </a:r>
          <a:endParaRPr lang="pt-BR" sz="1800">
            <a:solidFill>
              <a:schemeClr val="bg1"/>
            </a:solidFill>
            <a:latin typeface="Montserrat" pitchFamily="2" charset="0"/>
          </a:endParaRPr>
        </a:p>
      </xdr:txBody>
    </xdr:sp>
    <xdr:clientData/>
  </xdr:twoCellAnchor>
  <xdr:twoCellAnchor>
    <xdr:from>
      <xdr:col>9</xdr:col>
      <xdr:colOff>285750</xdr:colOff>
      <xdr:row>6</xdr:row>
      <xdr:rowOff>95250</xdr:rowOff>
    </xdr:from>
    <xdr:to>
      <xdr:col>13</xdr:col>
      <xdr:colOff>485775</xdr:colOff>
      <xdr:row>9</xdr:row>
      <xdr:rowOff>95250</xdr:rowOff>
    </xdr:to>
    <xdr:sp macro="" textlink="P6">
      <xdr:nvSpPr>
        <xdr:cNvPr id="25" name="CaixaDeTexto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 txBox="1"/>
      </xdr:nvSpPr>
      <xdr:spPr>
        <a:xfrm>
          <a:off x="5772150" y="1238250"/>
          <a:ext cx="2638425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582E41C-5600-4056-BF6E-0C6FF5219A11}" type="TxLink">
            <a:rPr lang="en-US" sz="3200" b="0" i="0" u="none" strike="noStrike">
              <a:solidFill>
                <a:schemeClr val="tx2">
                  <a:lumMod val="50000"/>
                  <a:lumOff val="50000"/>
                </a:schemeClr>
              </a:solidFill>
              <a:latin typeface="Montserrat" pitchFamily="2" charset="0"/>
            </a:rPr>
            <a:pPr algn="ctr"/>
            <a:t>1</a:t>
          </a:fld>
          <a:endParaRPr lang="pt-BR" sz="3200">
            <a:solidFill>
              <a:schemeClr val="tx2">
                <a:lumMod val="50000"/>
                <a:lumOff val="50000"/>
              </a:schemeClr>
            </a:solidFill>
            <a:latin typeface="Montserrat" pitchFamily="2" charset="0"/>
          </a:endParaRPr>
        </a:p>
      </xdr:txBody>
    </xdr:sp>
    <xdr:clientData/>
  </xdr:twoCellAnchor>
  <xdr:twoCellAnchor>
    <xdr:from>
      <xdr:col>14</xdr:col>
      <xdr:colOff>443592</xdr:colOff>
      <xdr:row>3</xdr:row>
      <xdr:rowOff>156141</xdr:rowOff>
    </xdr:from>
    <xdr:to>
      <xdr:col>20</xdr:col>
      <xdr:colOff>157842</xdr:colOff>
      <xdr:row>9</xdr:row>
      <xdr:rowOff>180975</xdr:rowOff>
    </xdr:to>
    <xdr:sp macro="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8957477" y="727641"/>
          <a:ext cx="3363057" cy="1204469"/>
        </a:xfrm>
        <a:prstGeom prst="roundRect">
          <a:avLst/>
        </a:prstGeom>
        <a:solidFill>
          <a:schemeClr val="tx2">
            <a:lumMod val="90000"/>
            <a:lumOff val="1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just"/>
          <a:endParaRPr lang="pt-BR" sz="1100"/>
        </a:p>
      </xdr:txBody>
    </xdr:sp>
    <xdr:clientData/>
  </xdr:twoCellAnchor>
  <xdr:twoCellAnchor>
    <xdr:from>
      <xdr:col>14</xdr:col>
      <xdr:colOff>481692</xdr:colOff>
      <xdr:row>4</xdr:row>
      <xdr:rowOff>40341</xdr:rowOff>
    </xdr:from>
    <xdr:to>
      <xdr:col>20</xdr:col>
      <xdr:colOff>67074</xdr:colOff>
      <xdr:row>6</xdr:row>
      <xdr:rowOff>40341</xdr:rowOff>
    </xdr:to>
    <xdr:sp macro="" textlink="">
      <xdr:nvSpPr>
        <xdr:cNvPr id="27" name="CaixaDeTexto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 txBox="1"/>
      </xdr:nvSpPr>
      <xdr:spPr>
        <a:xfrm>
          <a:off x="8995577" y="802341"/>
          <a:ext cx="3234189" cy="417635"/>
        </a:xfrm>
        <a:prstGeom prst="rect">
          <a:avLst/>
        </a:prstGeom>
        <a:solidFill>
          <a:schemeClr val="tx2">
            <a:lumMod val="90000"/>
            <a:lumOff val="1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800">
              <a:solidFill>
                <a:schemeClr val="bg1"/>
              </a:solidFill>
              <a:latin typeface="Montserrat" pitchFamily="2" charset="0"/>
            </a:rPr>
            <a:t>Consumidore</a:t>
          </a:r>
          <a:r>
            <a:rPr lang="pt-BR" sz="1800" baseline="0">
              <a:solidFill>
                <a:schemeClr val="bg1"/>
              </a:solidFill>
              <a:latin typeface="Montserrat" pitchFamily="2" charset="0"/>
            </a:rPr>
            <a:t>s Únicos</a:t>
          </a:r>
          <a:endParaRPr lang="pt-BR" sz="1800">
            <a:solidFill>
              <a:schemeClr val="bg1"/>
            </a:solidFill>
            <a:latin typeface="Montserrat" pitchFamily="2" charset="0"/>
          </a:endParaRPr>
        </a:p>
      </xdr:txBody>
    </xdr:sp>
    <xdr:clientData/>
  </xdr:twoCellAnchor>
  <xdr:twoCellAnchor>
    <xdr:from>
      <xdr:col>15</xdr:col>
      <xdr:colOff>195943</xdr:colOff>
      <xdr:row>6</xdr:row>
      <xdr:rowOff>95250</xdr:rowOff>
    </xdr:from>
    <xdr:to>
      <xdr:col>19</xdr:col>
      <xdr:colOff>395968</xdr:colOff>
      <xdr:row>9</xdr:row>
      <xdr:rowOff>95250</xdr:rowOff>
    </xdr:to>
    <xdr:sp macro="" textlink="P7">
      <xdr:nvSpPr>
        <xdr:cNvPr id="28" name="CaixaDeTexto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 txBox="1"/>
      </xdr:nvSpPr>
      <xdr:spPr>
        <a:xfrm>
          <a:off x="9380764" y="1279071"/>
          <a:ext cx="2649311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3707245-BB21-47B0-869A-5B3C35F37F50}" type="TxLink">
            <a:rPr lang="en-US" sz="3200" b="0" i="0" u="none" strike="noStrike">
              <a:solidFill>
                <a:schemeClr val="tx2">
                  <a:lumMod val="50000"/>
                  <a:lumOff val="50000"/>
                </a:schemeClr>
              </a:solidFill>
              <a:latin typeface="Montserrat" pitchFamily="2" charset="0"/>
            </a:rPr>
            <a:pPr algn="ctr"/>
            <a:t>1</a:t>
          </a:fld>
          <a:endParaRPr lang="pt-BR" sz="7200">
            <a:solidFill>
              <a:schemeClr val="tx2">
                <a:lumMod val="50000"/>
                <a:lumOff val="50000"/>
              </a:schemeClr>
            </a:solidFill>
            <a:latin typeface="Montserrat" pitchFamily="2" charset="0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anp" refreshedDate="45461.613545023145" createdVersion="8" refreshedVersion="8" minRefreshableVersion="3" recordCount="249" xr:uid="{1D2289FD-B61A-4E5F-843F-9860F13CD74A}">
  <cacheSource type="worksheet">
    <worksheetSource ref="B1:O250" sheet="Dados Brutos-EN"/>
  </cacheSource>
  <cacheFields count="14">
    <cacheField name="Discount" numFmtId="0">
      <sharedItems containsSemiMixedTypes="0" containsString="0" containsNumber="1" minValue="0" maxValue="0.1"/>
    </cacheField>
    <cacheField name="Unit Price" numFmtId="0">
      <sharedItems containsSemiMixedTypes="0" containsString="0" containsNumber="1" minValue="1.68" maxValue="3502.14"/>
    </cacheField>
    <cacheField name="Shipping Cost" numFmtId="0">
      <sharedItems containsSemiMixedTypes="0" containsString="0" containsNumber="1" minValue="0.5" maxValue="91.05"/>
    </cacheField>
    <cacheField name="Customer ID" numFmtId="0">
      <sharedItems containsSemiMixedTypes="0" containsString="0" containsNumber="1" containsInteger="1" minValue="3" maxValue="472"/>
    </cacheField>
    <cacheField name="Ship Mode" numFmtId="0">
      <sharedItems count="3">
        <s v="Regular Air"/>
        <s v="Express Air"/>
        <s v="Delivery Truck"/>
      </sharedItems>
    </cacheField>
    <cacheField name="Customer Segment" numFmtId="0">
      <sharedItems count="4">
        <s v="Small Business"/>
        <s v="Corporate"/>
        <s v="Home Office"/>
        <s v="Consumer"/>
      </sharedItems>
    </cacheField>
    <cacheField name="Product Category" numFmtId="0">
      <sharedItems count="3">
        <s v="Office Supplies"/>
        <s v="Technology"/>
        <s v="Furniture"/>
      </sharedItems>
    </cacheField>
    <cacheField name="Product Sub-Category" numFmtId="0">
      <sharedItems count="16">
        <s v="Envelopes"/>
        <s v="Paper"/>
        <s v="Telephones and Communication"/>
        <s v="Office Machines"/>
        <s v="Appliances"/>
        <s v="Binders and Binder Accessories"/>
        <s v="Office Furnishings"/>
        <s v="Computer Peripherals"/>
        <s v="Rubber Bands"/>
        <s v="Scissors, Rulers and Trimmers"/>
        <s v="Tables"/>
        <s v="Bookcases"/>
        <s v="Labels"/>
        <s v="Pens &amp; Art Supplies"/>
        <s v="Storage &amp; Organization"/>
        <s v="Chairs &amp; Chairmats"/>
      </sharedItems>
    </cacheField>
    <cacheField name="Product Container" numFmtId="0">
      <sharedItems/>
    </cacheField>
    <cacheField name="Product Name" numFmtId="0">
      <sharedItems containsBlank="1"/>
    </cacheField>
    <cacheField name="Product Base Margin" numFmtId="0">
      <sharedItems containsString="0" containsBlank="1" containsNumber="1" minValue="0.35" maxValue="0.85"/>
    </cacheField>
    <cacheField name="City" numFmtId="0">
      <sharedItems count="137">
        <s v="Alton"/>
        <s v="Norfolk"/>
        <s v="Lewiston"/>
        <s v="Los Altos"/>
        <s v="Roseville"/>
        <s v="Grand Junction"/>
        <s v="Batavia"/>
        <s v="Troy"/>
        <s v="Everett"/>
        <s v="Cincinnati"/>
        <s v="Pikesville"/>
        <s v="Seattle"/>
        <s v="Potomac"/>
        <s v="Carson City"/>
        <s v="Belleville"/>
        <s v="Los Banos"/>
        <s v="Detroit"/>
        <s v="Goffstown"/>
        <s v="Lehi"/>
        <s v="Shawnee"/>
        <s v="Terrytown"/>
        <s v="Hanover"/>
        <s v="Miami"/>
        <s v="Watertown"/>
        <s v="Tysons Corner"/>
        <s v="New York City"/>
        <s v="Bangor"/>
        <s v="Aurora"/>
        <s v="Vallejo"/>
        <s v="Redmond"/>
        <s v="Boston"/>
        <s v="Dover"/>
        <s v="Vacaville"/>
        <s v="Lake Oswego"/>
        <s v="Salem"/>
        <s v="Layton"/>
        <s v="Maryville"/>
        <s v="Arlington Heights"/>
        <s v="Lodi"/>
        <s v="Portland"/>
        <s v="Biddeford"/>
        <s v="Belchertown"/>
        <s v="Chicago"/>
        <s v="Fort Collins"/>
        <s v="Kingman"/>
        <s v="San Juan"/>
        <s v="Newington"/>
        <s v="Richland"/>
        <s v="Grants Pass"/>
        <s v="Helena"/>
        <s v="Roselle"/>
        <s v="Lemon Grove"/>
        <s v="Bloomington"/>
        <s v="Richfield"/>
        <s v="Napa"/>
        <s v="Tonawanda"/>
        <s v="West Hollywood"/>
        <s v="Knoxville"/>
        <s v="Flagstaff"/>
        <s v="Charlotte"/>
        <s v="Orland Park"/>
        <s v="Lakewood"/>
        <s v="Hawthorne"/>
        <s v="Newton"/>
        <s v="Medford"/>
        <s v="Oakland"/>
        <s v="Clayton"/>
        <s v="Baton Rouge"/>
        <s v="Overland Park"/>
        <s v="Auburn"/>
        <s v="Petaluma"/>
        <s v="Yarmouth"/>
        <s v="Mcminnville"/>
        <s v="Grand Island"/>
        <s v="Highlands Ranch"/>
        <s v="Watauga"/>
        <s v="Burlington"/>
        <s v="Mint Hill"/>
        <s v="San Gabriel"/>
        <s v="Smithtown"/>
        <s v="Missoula"/>
        <s v="Murray"/>
        <s v="Forest Park"/>
        <s v="Hanson"/>
        <s v="Canton"/>
        <s v="Sanford"/>
        <s v="Cleveland Heights"/>
        <s v="Columbus"/>
        <s v="Prior Lake"/>
        <s v="Dayton"/>
        <s v="Bartlesville"/>
        <s v="Loveland"/>
        <s v="San Antonio"/>
        <s v="Utica"/>
        <s v="West Mifflin"/>
        <s v="Cuyahoga Falls"/>
        <s v="Albemarle"/>
        <s v="King of Prussia"/>
        <s v="Urbana"/>
        <s v="Glendale"/>
        <s v="Seminole"/>
        <s v="Wichita"/>
        <s v="Atlanta"/>
        <s v="Randallstown"/>
        <s v="Laguna Niguel"/>
        <s v="San Francisco"/>
        <s v="Gainesville"/>
        <s v="Newark"/>
        <s v="Gresham"/>
        <s v="Santa Fe"/>
        <s v="Manhattan"/>
        <s v="Lincoln"/>
        <s v="Lebanon"/>
        <s v="Louisville"/>
        <s v="Morristown"/>
        <s v="Bellingham"/>
        <s v="Kingsport"/>
        <s v="Elizabeth"/>
        <s v="Drexel Hill"/>
        <s v="Fairfield"/>
        <s v="South Vineland"/>
        <s v="Anacortes"/>
        <s v="Cranston"/>
        <s v="Los Gatos"/>
        <s v="Round Rock"/>
        <s v="Syracuse"/>
        <s v="Fort Lee"/>
        <s v="Lunenburg"/>
        <s v="Kearney"/>
        <s v="Gilbert"/>
        <s v="Millville"/>
        <s v="Beverly"/>
        <s v="Trenton"/>
        <s v="Ansonia"/>
        <s v="Fountain"/>
        <s v="Arlington"/>
        <s v="Puyallup"/>
      </sharedItems>
    </cacheField>
    <cacheField name="Profit" numFmtId="0">
      <sharedItems containsSemiMixedTypes="0" containsString="0" containsNumber="1" minValue="-6923.5991999999997" maxValue="7402.32"/>
    </cacheField>
    <cacheField name="Sales" numFmtId="0">
      <sharedItems containsSemiMixedTypes="0" containsString="0" containsNumber="1" minValue="2.25" maxValue="12599.55"/>
    </cacheField>
  </cacheFields>
  <extLst>
    <ext xmlns:x14="http://schemas.microsoft.com/office/spreadsheetml/2009/9/main" uri="{725AE2AE-9491-48be-B2B4-4EB974FC3084}">
      <x14:pivotCacheDefinition pivotCacheId="210927450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9">
  <r>
    <n v="7.0000000000000007E-2"/>
    <n v="15.74"/>
    <n v="1.39"/>
    <n v="129"/>
    <x v="0"/>
    <x v="0"/>
    <x v="0"/>
    <x v="0"/>
    <s v="Small Box"/>
    <s v="#10-4 1/8&quot; x 9 1/2&quot; Premium Diagonal Seam Envelopes"/>
    <n v="0.4"/>
    <x v="0"/>
    <n v="149.8887"/>
    <n v="217.23"/>
  </r>
  <r>
    <n v="0.03"/>
    <n v="48.04"/>
    <n v="19.989999999999998"/>
    <n v="445"/>
    <x v="0"/>
    <x v="0"/>
    <x v="0"/>
    <x v="1"/>
    <s v="Small Box"/>
    <s v="14-7/8 x 11 Blue Bar Computer Printout Paper"/>
    <n v="0.37"/>
    <x v="1"/>
    <n v="-4.46"/>
    <n v="101.71"/>
  </r>
  <r>
    <n v="0.02"/>
    <n v="20.99"/>
    <n v="4.8099999999999996"/>
    <n v="370"/>
    <x v="0"/>
    <x v="1"/>
    <x v="1"/>
    <x v="2"/>
    <s v="Medium Box"/>
    <s v="1726 Digital Answering Machine"/>
    <n v="0.57999999999999996"/>
    <x v="2"/>
    <n v="49.787999999999997"/>
    <n v="266.39"/>
  </r>
  <r>
    <n v="0.03"/>
    <n v="15.99"/>
    <n v="11.28"/>
    <n v="451"/>
    <x v="0"/>
    <x v="2"/>
    <x v="1"/>
    <x v="3"/>
    <s v="Medium Box"/>
    <s v="210 Trimline Phone, White"/>
    <n v="0.38"/>
    <x v="3"/>
    <n v="-53.296199999999999"/>
    <n v="35.479999999999997"/>
  </r>
  <r>
    <n v="0.05"/>
    <n v="200.99"/>
    <n v="4.2"/>
    <n v="447"/>
    <x v="0"/>
    <x v="1"/>
    <x v="1"/>
    <x v="2"/>
    <s v="Small Box"/>
    <s v="2160i"/>
    <n v="0.59"/>
    <x v="4"/>
    <n v="1268.8064999999999"/>
    <n v="1838.85"/>
  </r>
  <r>
    <n v="0.02"/>
    <n v="125.99"/>
    <n v="3"/>
    <n v="241"/>
    <x v="0"/>
    <x v="0"/>
    <x v="1"/>
    <x v="2"/>
    <s v="Small Box"/>
    <s v="270c"/>
    <n v="0.59"/>
    <x v="5"/>
    <n v="398.358"/>
    <n v="873.18"/>
  </r>
  <r>
    <n v="0.03"/>
    <n v="25.98"/>
    <n v="5.37"/>
    <n v="377"/>
    <x v="0"/>
    <x v="3"/>
    <x v="0"/>
    <x v="4"/>
    <s v="Medium Box"/>
    <s v="270c"/>
    <n v="0.5"/>
    <x v="6"/>
    <n v="250.0376"/>
    <n v="460.87"/>
  </r>
  <r>
    <n v="0.09"/>
    <n v="5.4"/>
    <n v="7.78"/>
    <n v="210"/>
    <x v="1"/>
    <x v="2"/>
    <x v="0"/>
    <x v="5"/>
    <s v="Small Box"/>
    <s v="3M Organizer Strips"/>
    <n v="0.37"/>
    <x v="7"/>
    <n v="-21.487749999999998"/>
    <n v="27.3"/>
  </r>
  <r>
    <n v="0.05"/>
    <n v="5.4"/>
    <n v="7.78"/>
    <n v="371"/>
    <x v="1"/>
    <x v="1"/>
    <x v="0"/>
    <x v="5"/>
    <s v="Small Box"/>
    <s v="3M Organizer Strips"/>
    <n v="0.37"/>
    <x v="8"/>
    <n v="-132.62950000000001"/>
    <n v="51.82"/>
  </r>
  <r>
    <n v="0"/>
    <n v="8.09"/>
    <n v="7.96"/>
    <n v="84"/>
    <x v="0"/>
    <x v="3"/>
    <x v="2"/>
    <x v="6"/>
    <s v="Small Box"/>
    <s v="6&quot; Cubicle Wall Clock, Black"/>
    <n v="0.49"/>
    <x v="9"/>
    <n v="-144.56"/>
    <n v="90.98"/>
  </r>
  <r>
    <n v="0.01"/>
    <n v="8.33"/>
    <n v="1.99"/>
    <n v="306"/>
    <x v="0"/>
    <x v="0"/>
    <x v="1"/>
    <x v="7"/>
    <s v="Small Pack"/>
    <s v="80 Minute Slim Jewel Case CD-R , 10/Pack - Staples"/>
    <n v="0.52"/>
    <x v="10"/>
    <n v="15.895200000000001"/>
    <n v="70.16"/>
  </r>
  <r>
    <n v="0.01"/>
    <n v="8.33"/>
    <n v="1.99"/>
    <n v="308"/>
    <x v="0"/>
    <x v="0"/>
    <x v="1"/>
    <x v="7"/>
    <s v="Small Pack"/>
    <s v="80 Minute Slim Jewel Case CD-R , 10/Pack - Staples"/>
    <n v="0.52"/>
    <x v="11"/>
    <n v="10.74"/>
    <n v="280.62"/>
  </r>
  <r>
    <n v="0.04"/>
    <n v="8.33"/>
    <n v="1.99"/>
    <n v="321"/>
    <x v="0"/>
    <x v="3"/>
    <x v="1"/>
    <x v="7"/>
    <s v="Small Pack"/>
    <s v="80 Minute Slim Jewel Case CD-R , 10/Pack - Staples"/>
    <n v="0.52"/>
    <x v="12"/>
    <n v="9.9268000000000001"/>
    <n v="89.76"/>
  </r>
  <r>
    <n v="0"/>
    <n v="85.99"/>
    <n v="3.3"/>
    <n v="428"/>
    <x v="0"/>
    <x v="1"/>
    <x v="1"/>
    <x v="2"/>
    <s v="Small Pack"/>
    <s v="Accessory20"/>
    <n v="0.37"/>
    <x v="13"/>
    <n v="-302.22500000000002"/>
    <n v="73.819999999999993"/>
  </r>
  <r>
    <n v="0.04"/>
    <n v="85.99"/>
    <n v="0.99"/>
    <n v="306"/>
    <x v="0"/>
    <x v="0"/>
    <x v="1"/>
    <x v="2"/>
    <s v="Wrap Bag"/>
    <s v="Accessory34"/>
    <n v="0.55000000000000004"/>
    <x v="10"/>
    <n v="855.99329999999998"/>
    <n v="1240.57"/>
  </r>
  <r>
    <n v="0.03"/>
    <n v="55.99"/>
    <n v="5"/>
    <n v="282"/>
    <x v="0"/>
    <x v="1"/>
    <x v="1"/>
    <x v="2"/>
    <s v="Small Pack"/>
    <s v="Accessory36"/>
    <n v="0.83"/>
    <x v="14"/>
    <n v="-221.25399999999999"/>
    <n v="416.95"/>
  </r>
  <r>
    <n v="0.01"/>
    <n v="55.99"/>
    <n v="5"/>
    <n v="452"/>
    <x v="0"/>
    <x v="2"/>
    <x v="1"/>
    <x v="2"/>
    <s v="Small Pack"/>
    <s v="Accessory36"/>
    <n v="0.83"/>
    <x v="15"/>
    <n v="-235.89500000000001"/>
    <n v="51.83"/>
  </r>
  <r>
    <n v="0.04"/>
    <n v="85.99"/>
    <n v="0.99"/>
    <n v="373"/>
    <x v="0"/>
    <x v="0"/>
    <x v="1"/>
    <x v="2"/>
    <s v="Wrap Bag"/>
    <s v="Accessory4"/>
    <n v="0.85"/>
    <x v="16"/>
    <n v="-175.17500000000001"/>
    <n v="1426.51"/>
  </r>
  <r>
    <n v="0.01"/>
    <n v="29.1"/>
    <n v="4"/>
    <n v="331"/>
    <x v="1"/>
    <x v="2"/>
    <x v="1"/>
    <x v="7"/>
    <s v="Small Box"/>
    <s v="Acco Keyboard-In-A-Box®"/>
    <n v="0.78"/>
    <x v="17"/>
    <n v="-22.82"/>
    <n v="243.32"/>
  </r>
  <r>
    <n v="0.09"/>
    <n v="3.29"/>
    <n v="1.35"/>
    <n v="194"/>
    <x v="0"/>
    <x v="1"/>
    <x v="0"/>
    <x v="8"/>
    <s v="Wrap Bag"/>
    <s v="Acco® Hot Clips™ Clips to Go"/>
    <n v="0.4"/>
    <x v="18"/>
    <n v="15.66"/>
    <n v="71.55"/>
  </r>
  <r>
    <n v="0"/>
    <n v="4.13"/>
    <n v="5.34"/>
    <n v="286"/>
    <x v="0"/>
    <x v="0"/>
    <x v="0"/>
    <x v="5"/>
    <s v="Small Box"/>
    <s v="ACCOHIDE® Binder by Acco"/>
    <n v="0.38"/>
    <x v="19"/>
    <n v="-61.87"/>
    <n v="40.950000000000003"/>
  </r>
  <r>
    <n v="0.04"/>
    <n v="12.98"/>
    <n v="3.14"/>
    <n v="92"/>
    <x v="1"/>
    <x v="1"/>
    <x v="0"/>
    <x v="9"/>
    <s v="Small Pack"/>
    <s v="Acme® 8&quot; Straight Scissors"/>
    <n v="0.6"/>
    <x v="20"/>
    <n v="22.818000000000001"/>
    <n v="216.04"/>
  </r>
  <r>
    <n v="0.03"/>
    <n v="8.34"/>
    <n v="2.64"/>
    <n v="256"/>
    <x v="0"/>
    <x v="2"/>
    <x v="0"/>
    <x v="9"/>
    <s v="Small Pack"/>
    <s v="Acme® Elite Stainless Steel Scissors"/>
    <n v="0.59"/>
    <x v="21"/>
    <n v="0.68400000000000005"/>
    <n v="34.64"/>
  </r>
  <r>
    <n v="0"/>
    <n v="8.34"/>
    <n v="2.64"/>
    <n v="349"/>
    <x v="1"/>
    <x v="2"/>
    <x v="0"/>
    <x v="9"/>
    <s v="Small Pack"/>
    <s v="Acme® Elite Stainless Steel Scissors"/>
    <n v="0.59"/>
    <x v="22"/>
    <n v="5.8624999999999998"/>
    <n v="212.89"/>
  </r>
  <r>
    <n v="0"/>
    <n v="8.34"/>
    <n v="2.64"/>
    <n v="351"/>
    <x v="1"/>
    <x v="2"/>
    <x v="0"/>
    <x v="9"/>
    <s v="Small Pack"/>
    <s v="Acme® Elite Stainless Steel Scissors"/>
    <n v="0.59"/>
    <x v="23"/>
    <n v="10.5"/>
    <n v="55.54"/>
  </r>
  <r>
    <n v="0.06"/>
    <n v="8.57"/>
    <n v="6.14"/>
    <n v="123"/>
    <x v="0"/>
    <x v="2"/>
    <x v="0"/>
    <x v="9"/>
    <s v="Small Pack"/>
    <s v="Acme® Office Executive Series Stainless Steel Trimmers"/>
    <n v="0.59"/>
    <x v="24"/>
    <n v="105.678"/>
    <n v="94.97"/>
  </r>
  <r>
    <n v="0.08"/>
    <n v="5"/>
    <n v="3.39"/>
    <n v="21"/>
    <x v="0"/>
    <x v="0"/>
    <x v="0"/>
    <x v="8"/>
    <s v="Wrap Bag"/>
    <s v="Advantus Plastic Paper Clips"/>
    <n v="0.37"/>
    <x v="25"/>
    <n v="-17.489999999999998"/>
    <n v="293.06"/>
  </r>
  <r>
    <n v="0.03"/>
    <n v="15.23"/>
    <n v="27.75"/>
    <n v="343"/>
    <x v="2"/>
    <x v="1"/>
    <x v="2"/>
    <x v="10"/>
    <s v="Jumbo Box"/>
    <s v="Anderson Hickey Conga Table Tops &amp; Accessories"/>
    <n v="0.76"/>
    <x v="26"/>
    <n v="11.65095"/>
    <n v="111.86"/>
  </r>
  <r>
    <n v="0.01"/>
    <n v="80.48"/>
    <n v="4.5"/>
    <n v="191"/>
    <x v="0"/>
    <x v="1"/>
    <x v="0"/>
    <x v="4"/>
    <s v="Small Box"/>
    <s v="APC 7 Outlet Network SurgeArrest Surge Protector"/>
    <n v="0.55000000000000004"/>
    <x v="27"/>
    <n v="-35.474400000000003"/>
    <n v="79.680000000000007"/>
  </r>
  <r>
    <n v="0.05"/>
    <n v="5.18"/>
    <n v="2.04"/>
    <n v="91"/>
    <x v="0"/>
    <x v="2"/>
    <x v="0"/>
    <x v="1"/>
    <s v="Wrap Bag"/>
    <s v="Array® Memo Cubes"/>
    <n v="0.36"/>
    <x v="28"/>
    <n v="34.010399999999997"/>
    <n v="53.54"/>
  </r>
  <r>
    <n v="0"/>
    <n v="99.99"/>
    <n v="19.989999999999998"/>
    <n v="43"/>
    <x v="0"/>
    <x v="3"/>
    <x v="1"/>
    <x v="3"/>
    <s v="Small Box"/>
    <s v="AT&amp;T 2230 Dual Handset Phone With Caller ID/Call Waiting"/>
    <n v="0.52"/>
    <x v="29"/>
    <n v="25.913820000000001"/>
    <n v="647.07000000000005"/>
  </r>
  <r>
    <n v="0.04"/>
    <n v="300.98"/>
    <n v="54.92"/>
    <n v="102"/>
    <x v="2"/>
    <x v="3"/>
    <x v="2"/>
    <x v="11"/>
    <s v="Jumbo Box"/>
    <s v="Atlantic Metals Mobile 5-Shelf Bookcases, Custom Colors"/>
    <n v="0.55000000000000004"/>
    <x v="30"/>
    <n v="2023.75"/>
    <n v="9459.94"/>
  </r>
  <r>
    <n v="0.04"/>
    <n v="300.98"/>
    <n v="54.92"/>
    <n v="107"/>
    <x v="2"/>
    <x v="3"/>
    <x v="2"/>
    <x v="11"/>
    <s v="Jumbo Box"/>
    <s v="Atlantic Metals Mobile 5-Shelf Bookcases, Custom Colors"/>
    <n v="0.55000000000000004"/>
    <x v="31"/>
    <n v="1684.4763"/>
    <n v="2441.27"/>
  </r>
  <r>
    <n v="0.09"/>
    <n v="4.91"/>
    <n v="0.5"/>
    <n v="87"/>
    <x v="0"/>
    <x v="1"/>
    <x v="0"/>
    <x v="12"/>
    <s v="Small Box"/>
    <s v="Avery 493"/>
    <n v="0.36"/>
    <x v="32"/>
    <n v="28.855799999999999"/>
    <n v="41.82"/>
  </r>
  <r>
    <n v="0.01"/>
    <n v="4.91"/>
    <n v="0.5"/>
    <n v="114"/>
    <x v="0"/>
    <x v="2"/>
    <x v="0"/>
    <x v="12"/>
    <s v="Small Box"/>
    <s v="Avery 493"/>
    <n v="0.36"/>
    <x v="33"/>
    <n v="40.247700000000002"/>
    <n v="58.33"/>
  </r>
  <r>
    <n v="0.01"/>
    <n v="4.91"/>
    <n v="0.5"/>
    <n v="117"/>
    <x v="0"/>
    <x v="2"/>
    <x v="0"/>
    <x v="12"/>
    <s v="Small Box"/>
    <s v="Avery 493"/>
    <n v="0.36"/>
    <x v="11"/>
    <n v="112.06"/>
    <n v="228.46"/>
  </r>
  <r>
    <n v="0"/>
    <n v="3.69"/>
    <n v="0.5"/>
    <n v="64"/>
    <x v="0"/>
    <x v="0"/>
    <x v="0"/>
    <x v="12"/>
    <s v="Small Box"/>
    <s v="Avery 501"/>
    <n v="0.38"/>
    <x v="34"/>
    <n v="-37.5291"/>
    <n v="4"/>
  </r>
  <r>
    <n v="0.05"/>
    <n v="6.3"/>
    <n v="0.5"/>
    <n v="120"/>
    <x v="0"/>
    <x v="1"/>
    <x v="0"/>
    <x v="12"/>
    <s v="Small Box"/>
    <s v="Avery 51"/>
    <n v="0.39"/>
    <x v="35"/>
    <n v="41.296500000000002"/>
    <n v="59.85"/>
  </r>
  <r>
    <n v="0.09"/>
    <n v="2.88"/>
    <n v="0.99"/>
    <n v="247"/>
    <x v="0"/>
    <x v="1"/>
    <x v="0"/>
    <x v="12"/>
    <s v="Small Box"/>
    <s v="Avery 514"/>
    <n v="0.36"/>
    <x v="36"/>
    <n v="-145.08199999999999"/>
    <n v="28.73"/>
  </r>
  <r>
    <n v="0.06"/>
    <n v="2.88"/>
    <n v="0.99"/>
    <n v="451"/>
    <x v="0"/>
    <x v="2"/>
    <x v="0"/>
    <x v="12"/>
    <s v="Small Box"/>
    <s v="Avery 514"/>
    <n v="0.36"/>
    <x v="3"/>
    <n v="16.049399999999999"/>
    <n v="23.26"/>
  </r>
  <r>
    <n v="0.1"/>
    <n v="58.1"/>
    <n v="1.49"/>
    <n v="190"/>
    <x v="0"/>
    <x v="1"/>
    <x v="0"/>
    <x v="5"/>
    <s v="Small Box"/>
    <s v="Avery Arch Ring Binders"/>
    <n v="0.38"/>
    <x v="37"/>
    <n v="113.6499"/>
    <n v="164.71"/>
  </r>
  <r>
    <n v="0.09"/>
    <n v="2.88"/>
    <n v="1.49"/>
    <n v="102"/>
    <x v="0"/>
    <x v="3"/>
    <x v="0"/>
    <x v="5"/>
    <s v="Small Box"/>
    <s v="Avery Durable Binders"/>
    <n v="0.36"/>
    <x v="30"/>
    <n v="-3.3809999999999998"/>
    <n v="47.31"/>
  </r>
  <r>
    <n v="0.09"/>
    <n v="2.88"/>
    <n v="1.49"/>
    <n v="109"/>
    <x v="0"/>
    <x v="3"/>
    <x v="0"/>
    <x v="5"/>
    <s v="Small Box"/>
    <s v="Avery Durable Binders"/>
    <n v="0.36"/>
    <x v="38"/>
    <n v="-2.7048000000000001"/>
    <n v="11.13"/>
  </r>
  <r>
    <n v="0.01"/>
    <n v="3.26"/>
    <n v="1.86"/>
    <n v="342"/>
    <x v="0"/>
    <x v="1"/>
    <x v="0"/>
    <x v="13"/>
    <s v="Wrap Bag"/>
    <s v="Avery Hi-Liter GlideStik Fluorescent Highlighter, Yellow Ink"/>
    <n v="0.41"/>
    <x v="22"/>
    <n v="-4.6683000000000003"/>
    <n v="73.97"/>
  </r>
  <r>
    <n v="0.01"/>
    <n v="3.26"/>
    <n v="1.86"/>
    <n v="344"/>
    <x v="0"/>
    <x v="1"/>
    <x v="0"/>
    <x v="13"/>
    <s v="Wrap Bag"/>
    <s v="Avery Hi-Liter GlideStik Fluorescent Highlighter, Yellow Ink"/>
    <n v="0.41"/>
    <x v="39"/>
    <n v="0.70199999999999996"/>
    <n v="18.489999999999998"/>
  </r>
  <r>
    <n v="0.1"/>
    <n v="19.98"/>
    <n v="4"/>
    <n v="101"/>
    <x v="0"/>
    <x v="3"/>
    <x v="1"/>
    <x v="7"/>
    <s v="Small Box"/>
    <s v="Belkin 105-Key Black Keyboard"/>
    <n v="0.68"/>
    <x v="40"/>
    <n v="-16.2"/>
    <n v="303.58999999999997"/>
  </r>
  <r>
    <n v="0.1"/>
    <n v="19.98"/>
    <n v="4"/>
    <n v="102"/>
    <x v="0"/>
    <x v="3"/>
    <x v="1"/>
    <x v="7"/>
    <s v="Small Box"/>
    <s v="Belkin 105-Key Black Keyboard"/>
    <n v="0.68"/>
    <x v="30"/>
    <n v="-20.25"/>
    <n v="1233.32"/>
  </r>
  <r>
    <n v="0.01"/>
    <n v="19.98"/>
    <n v="4"/>
    <n v="315"/>
    <x v="0"/>
    <x v="1"/>
    <x v="1"/>
    <x v="7"/>
    <s v="Small Box"/>
    <s v="Belkin 105-Key Black Keyboard"/>
    <n v="0.68"/>
    <x v="41"/>
    <n v="-72.23"/>
    <n v="43.08"/>
  </r>
  <r>
    <n v="0.01"/>
    <n v="17.98"/>
    <n v="4"/>
    <n v="94"/>
    <x v="0"/>
    <x v="2"/>
    <x v="1"/>
    <x v="7"/>
    <s v="Small Box"/>
    <s v="Belkin 107-key enhanced keyboard, USB/PS/2 interface"/>
    <n v="0.79"/>
    <x v="42"/>
    <n v="-87.96"/>
    <n v="2664.4"/>
  </r>
  <r>
    <n v="0.03"/>
    <n v="10.89"/>
    <n v="4.5"/>
    <n v="156"/>
    <x v="0"/>
    <x v="1"/>
    <x v="0"/>
    <x v="4"/>
    <s v="Small Box"/>
    <s v="Belkin 6 Outlet Metallic Surge Strip"/>
    <n v="0.59"/>
    <x v="43"/>
    <n v="-18.64"/>
    <n v="33.82"/>
  </r>
  <r>
    <n v="0.06"/>
    <n v="7.99"/>
    <n v="5.03"/>
    <n v="326"/>
    <x v="0"/>
    <x v="3"/>
    <x v="1"/>
    <x v="2"/>
    <s v="Medium Box"/>
    <s v="Bell Sonecor JB700 Caller ID"/>
    <n v="0.6"/>
    <x v="6"/>
    <n v="-29.172000000000001"/>
    <n v="28.46"/>
  </r>
  <r>
    <n v="7.0000000000000007E-2"/>
    <n v="124.49"/>
    <n v="51.94"/>
    <n v="357"/>
    <x v="2"/>
    <x v="1"/>
    <x v="2"/>
    <x v="10"/>
    <s v="Jumbo Box"/>
    <s v="Bevis 36 x 72 Conference Tables"/>
    <n v="0.63"/>
    <x v="44"/>
    <n v="1074.44"/>
    <n v="1714.93"/>
  </r>
  <r>
    <n v="0.06"/>
    <n v="259.70999999999998"/>
    <n v="66.67"/>
    <n v="241"/>
    <x v="2"/>
    <x v="0"/>
    <x v="2"/>
    <x v="10"/>
    <s v="Jumbo Box"/>
    <s v="Bevis Round Bullnose 29&quot; High Table Top"/>
    <n v="0.61"/>
    <x v="5"/>
    <n v="785.63"/>
    <n v="2809.87"/>
  </r>
  <r>
    <n v="7.0000000000000007E-2"/>
    <n v="29.17"/>
    <n v="6.27"/>
    <n v="408"/>
    <x v="0"/>
    <x v="1"/>
    <x v="0"/>
    <x v="5"/>
    <s v="Small Box"/>
    <s v="Binding Machine Supplies"/>
    <n v="0.37"/>
    <x v="45"/>
    <n v="236.2371"/>
    <n v="400.47"/>
  </r>
  <r>
    <n v="0.02"/>
    <n v="146.05000000000001"/>
    <n v="80.2"/>
    <n v="247"/>
    <x v="2"/>
    <x v="1"/>
    <x v="2"/>
    <x v="10"/>
    <s v="Jumbo Box"/>
    <s v="BPI Conference Tables"/>
    <n v="0.71"/>
    <x v="36"/>
    <n v="-101.19199999999999"/>
    <n v="798.69"/>
  </r>
  <r>
    <n v="0.04"/>
    <n v="1.98"/>
    <n v="0.7"/>
    <n v="276"/>
    <x v="1"/>
    <x v="1"/>
    <x v="0"/>
    <x v="8"/>
    <s v="Wrap Bag"/>
    <s v="Brites Rubber Bands, 1 1/2 oz. Box"/>
    <n v="0.83"/>
    <x v="46"/>
    <n v="-1"/>
    <n v="8.3000000000000007"/>
  </r>
  <r>
    <n v="0.05"/>
    <n v="100.98"/>
    <n v="35.840000000000003"/>
    <n v="164"/>
    <x v="2"/>
    <x v="2"/>
    <x v="2"/>
    <x v="11"/>
    <s v="Jumbo Box"/>
    <s v="Bush Westfield Collection Bookcases, Fully Assembled"/>
    <n v="0.62"/>
    <x v="47"/>
    <n v="-111.4"/>
    <n v="715.55"/>
  </r>
  <r>
    <n v="0.01"/>
    <n v="17.98"/>
    <n v="8.51"/>
    <n v="32"/>
    <x v="0"/>
    <x v="1"/>
    <x v="1"/>
    <x v="3"/>
    <s v="Medium Box"/>
    <s v="Canon P1-DHIII Palm Printing Calculator"/>
    <n v="0.4"/>
    <x v="48"/>
    <n v="-35.878799999999998"/>
    <n v="40.17"/>
  </r>
  <r>
    <n v="0.05"/>
    <n v="26.48"/>
    <n v="6.93"/>
    <n v="18"/>
    <x v="0"/>
    <x v="0"/>
    <x v="2"/>
    <x v="6"/>
    <s v="Small Box"/>
    <s v="DAX Natural Wood-Tone Poster Frame"/>
    <n v="0.49"/>
    <x v="49"/>
    <n v="314.48129999999998"/>
    <n v="455.77"/>
  </r>
  <r>
    <n v="0.05"/>
    <n v="26.48"/>
    <n v="6.93"/>
    <n v="21"/>
    <x v="0"/>
    <x v="0"/>
    <x v="2"/>
    <x v="6"/>
    <s v="Small Box"/>
    <s v="DAX Natural Wood-Tone Poster Frame"/>
    <n v="0.49"/>
    <x v="25"/>
    <n v="384.38"/>
    <n v="1876.69"/>
  </r>
  <r>
    <n v="0.06"/>
    <n v="9.48"/>
    <n v="7.29"/>
    <n v="11"/>
    <x v="0"/>
    <x v="2"/>
    <x v="2"/>
    <x v="6"/>
    <s v="Small Pack"/>
    <s v="DAX Two-Tone Rosewood/Black Document Frame, Desktop, 5 x 7"/>
    <n v="0.45"/>
    <x v="50"/>
    <n v="-53.809600000000003"/>
    <n v="211.15"/>
  </r>
  <r>
    <n v="0.04"/>
    <n v="15.42"/>
    <n v="10.68"/>
    <n v="317"/>
    <x v="0"/>
    <x v="1"/>
    <x v="0"/>
    <x v="14"/>
    <s v="Small Box"/>
    <s v="Decoflex Hanging Personal Folder File, Blue"/>
    <n v="0.57999999999999996"/>
    <x v="51"/>
    <n v="-119.93600000000001"/>
    <n v="192.18"/>
  </r>
  <r>
    <n v="7.0000000000000007E-2"/>
    <n v="415.88"/>
    <n v="11.37"/>
    <n v="381"/>
    <x v="0"/>
    <x v="1"/>
    <x v="0"/>
    <x v="14"/>
    <s v="Small Box"/>
    <s v="Deluxe Rollaway Locking File with Drawer"/>
    <n v="0.56999999999999995"/>
    <x v="52"/>
    <n v="-539.59"/>
    <n v="394.51"/>
  </r>
  <r>
    <n v="0.02"/>
    <n v="2.58"/>
    <n v="1.3"/>
    <n v="250"/>
    <x v="1"/>
    <x v="1"/>
    <x v="0"/>
    <x v="13"/>
    <s v="Wrap Bag"/>
    <s v="DIXON Oriole® Pencils"/>
    <n v="0.59"/>
    <x v="53"/>
    <n v="1.1080000000000001"/>
    <n v="109.74"/>
  </r>
  <r>
    <n v="0.03"/>
    <n v="4.26"/>
    <n v="1.2"/>
    <n v="114"/>
    <x v="0"/>
    <x v="2"/>
    <x v="0"/>
    <x v="13"/>
    <s v="Wrap Bag"/>
    <s v="Dixon Prang® Watercolor Pencils, 10-Color Set with Brush"/>
    <n v="0.44"/>
    <x v="33"/>
    <n v="18.658000000000001"/>
    <n v="29.5"/>
  </r>
  <r>
    <n v="0.03"/>
    <n v="4.26"/>
    <n v="1.2"/>
    <n v="117"/>
    <x v="0"/>
    <x v="2"/>
    <x v="0"/>
    <x v="13"/>
    <s v="Wrap Bag"/>
    <s v="Dixon Prang® Watercolor Pencils, 10-Color Set with Brush"/>
    <n v="0.44"/>
    <x v="11"/>
    <n v="9.82"/>
    <n v="122.23"/>
  </r>
  <r>
    <n v="0.05"/>
    <n v="155.06"/>
    <n v="7.07"/>
    <n v="67"/>
    <x v="0"/>
    <x v="1"/>
    <x v="0"/>
    <x v="14"/>
    <s v="Small Box"/>
    <s v="Dual Level, Single-Width Filing Carts"/>
    <n v="0.59"/>
    <x v="54"/>
    <n v="845.66399999999999"/>
    <n v="1225.5999999999999"/>
  </r>
  <r>
    <n v="0.05"/>
    <n v="155.06"/>
    <n v="7.07"/>
    <n v="68"/>
    <x v="0"/>
    <x v="1"/>
    <x v="0"/>
    <x v="14"/>
    <s v="Small Box"/>
    <s v="Dual Level, Single-Width Filing Carts"/>
    <n v="0.59"/>
    <x v="25"/>
    <n v="575.39599999999996"/>
    <n v="4902.38"/>
  </r>
  <r>
    <n v="0.06"/>
    <n v="3.8"/>
    <n v="1.49"/>
    <n v="56"/>
    <x v="0"/>
    <x v="3"/>
    <x v="0"/>
    <x v="5"/>
    <s v="Small Box"/>
    <s v="Durable Pressboard Binders"/>
    <n v="0.38"/>
    <x v="55"/>
    <n v="19.6282"/>
    <n v="73.55"/>
  </r>
  <r>
    <n v="0.05"/>
    <n v="3.8"/>
    <n v="1.49"/>
    <n v="191"/>
    <x v="0"/>
    <x v="1"/>
    <x v="0"/>
    <x v="5"/>
    <s v="Small Box"/>
    <s v="Durable Pressboard Binders"/>
    <n v="0.38"/>
    <x v="27"/>
    <n v="14.467000000000001"/>
    <n v="53.26"/>
  </r>
  <r>
    <n v="7.0000000000000007E-2"/>
    <n v="165.2"/>
    <n v="19.989999999999998"/>
    <n v="463"/>
    <x v="0"/>
    <x v="0"/>
    <x v="0"/>
    <x v="14"/>
    <s v="Small Box"/>
    <s v="Economy Rollaway Files"/>
    <n v="0.59"/>
    <x v="56"/>
    <n v="521.69000000000005"/>
    <n v="1081.54"/>
  </r>
  <r>
    <n v="0.09"/>
    <n v="4"/>
    <n v="1.3"/>
    <n v="114"/>
    <x v="1"/>
    <x v="2"/>
    <x v="0"/>
    <x v="1"/>
    <s v="Wrap Bag"/>
    <s v="EcoTones® Memo Sheets"/>
    <n v="0.37"/>
    <x v="33"/>
    <n v="14.0898"/>
    <n v="20.420000000000002"/>
  </r>
  <r>
    <n v="0.09"/>
    <n v="4"/>
    <n v="1.3"/>
    <n v="117"/>
    <x v="1"/>
    <x v="2"/>
    <x v="0"/>
    <x v="1"/>
    <s v="Wrap Bag"/>
    <s v="EcoTones® Memo Sheets"/>
    <n v="0.37"/>
    <x v="11"/>
    <n v="16.79"/>
    <n v="77.61"/>
  </r>
  <r>
    <n v="0.01"/>
    <n v="79.52"/>
    <n v="48.2"/>
    <n v="152"/>
    <x v="0"/>
    <x v="2"/>
    <x v="2"/>
    <x v="6"/>
    <s v="Medium Box"/>
    <s v="Eldon Cleatmat Plus™ Chair Mats for High Pile Carpets"/>
    <n v="0.74"/>
    <x v="57"/>
    <n v="-40.683999999999997"/>
    <n v="667.84"/>
  </r>
  <r>
    <n v="0.03"/>
    <n v="40.89"/>
    <n v="18.98"/>
    <n v="268"/>
    <x v="0"/>
    <x v="2"/>
    <x v="2"/>
    <x v="6"/>
    <s v="Small Box"/>
    <s v="Eldon Executive Woodline II Cherry Finish Desk Accessories"/>
    <n v="0.56999999999999995"/>
    <x v="58"/>
    <n v="78.98"/>
    <n v="210.77"/>
  </r>
  <r>
    <n v="0.03"/>
    <n v="40.89"/>
    <n v="18.98"/>
    <n v="272"/>
    <x v="0"/>
    <x v="2"/>
    <x v="2"/>
    <x v="6"/>
    <s v="Small Box"/>
    <s v="Eldon Executive Woodline II Cherry Finish Desk Accessories"/>
    <n v="0.56999999999999995"/>
    <x v="59"/>
    <n v="52.916600000000003"/>
    <n v="885.23"/>
  </r>
  <r>
    <n v="0.04"/>
    <n v="9.65"/>
    <n v="6.22"/>
    <n v="233"/>
    <x v="0"/>
    <x v="0"/>
    <x v="2"/>
    <x v="6"/>
    <s v="Small Box"/>
    <s v="Eldon Expressions™ Desk Accessory, Wood Pencil Holder, Oak"/>
    <n v="0.55000000000000004"/>
    <x v="60"/>
    <n v="-53.62"/>
    <n v="120.47"/>
  </r>
  <r>
    <n v="0.04"/>
    <n v="4.1399999999999997"/>
    <n v="6.6"/>
    <n v="27"/>
    <x v="0"/>
    <x v="1"/>
    <x v="2"/>
    <x v="6"/>
    <s v="Small Box"/>
    <s v="Eldon Image Series Black Desk Accessories"/>
    <n v="0.49"/>
    <x v="61"/>
    <n v="8.8940000000000001"/>
    <n v="54.78"/>
  </r>
  <r>
    <n v="0.05"/>
    <n v="4.1399999999999997"/>
    <n v="6.6"/>
    <n v="469"/>
    <x v="1"/>
    <x v="0"/>
    <x v="2"/>
    <x v="6"/>
    <s v="Small Box"/>
    <s v="Eldon Image Series Black Desk Accessories"/>
    <n v="0.49"/>
    <x v="62"/>
    <n v="-128.68719999999999"/>
    <n v="33.35"/>
  </r>
  <r>
    <n v="0.02"/>
    <n v="1.74"/>
    <n v="4.08"/>
    <n v="129"/>
    <x v="0"/>
    <x v="0"/>
    <x v="2"/>
    <x v="6"/>
    <s v="Small Pack"/>
    <s v="Eldon Regeneration Recycled Desk Accessories, Smoke"/>
    <n v="0.53"/>
    <x v="0"/>
    <n v="-37.39"/>
    <n v="10.23"/>
  </r>
  <r>
    <n v="0.06"/>
    <n v="3.34"/>
    <n v="7.49"/>
    <n v="234"/>
    <x v="1"/>
    <x v="0"/>
    <x v="0"/>
    <x v="13"/>
    <s v="Wrap Bag"/>
    <s v="Eldon Spacemaker® Box, Quick-Snap Lid, Clear"/>
    <n v="0.54"/>
    <x v="63"/>
    <n v="-175.86"/>
    <n v="27.45"/>
  </r>
  <r>
    <n v="0.09"/>
    <n v="6.28"/>
    <n v="5.29"/>
    <n v="335"/>
    <x v="0"/>
    <x v="1"/>
    <x v="2"/>
    <x v="6"/>
    <s v="Small Box"/>
    <s v="Eldon® 200 Class™ Desk Accessories, Burgundy"/>
    <n v="0.43"/>
    <x v="64"/>
    <n v="-5.2"/>
    <n v="8.5299999999999994"/>
  </r>
  <r>
    <n v="0.09"/>
    <n v="7.38"/>
    <n v="5.21"/>
    <n v="317"/>
    <x v="0"/>
    <x v="1"/>
    <x v="2"/>
    <x v="6"/>
    <s v="Small Box"/>
    <s v="Eldon® Expressions™ Wood Desk Accessories, Oak"/>
    <n v="0.56000000000000005"/>
    <x v="51"/>
    <n v="-27.16"/>
    <n v="66.55"/>
  </r>
  <r>
    <n v="0.09"/>
    <n v="19.23"/>
    <n v="6.15"/>
    <n v="369"/>
    <x v="1"/>
    <x v="1"/>
    <x v="2"/>
    <x v="6"/>
    <s v="Small Pack"/>
    <s v="Executive Impressions 13&quot; Clairmont Wall Clock"/>
    <n v="0.44"/>
    <x v="65"/>
    <n v="211.232"/>
    <n v="394.1"/>
  </r>
  <r>
    <n v="0.09"/>
    <n v="30.73"/>
    <n v="4"/>
    <n v="191"/>
    <x v="0"/>
    <x v="1"/>
    <x v="1"/>
    <x v="7"/>
    <s v="Small Box"/>
    <s v="Fellowes 17-key keypad for PS/2 interface"/>
    <n v="0.75"/>
    <x v="27"/>
    <n v="-99.986400000000003"/>
    <n v="203.49"/>
  </r>
  <r>
    <n v="7.0000000000000007E-2"/>
    <n v="5.81"/>
    <n v="8.49"/>
    <n v="233"/>
    <x v="0"/>
    <x v="0"/>
    <x v="0"/>
    <x v="5"/>
    <s v="Small Box"/>
    <s v="Fellowes Black Plastic Comb Bindings"/>
    <n v="0.39"/>
    <x v="60"/>
    <n v="-243.23650000000001"/>
    <n v="58.8"/>
  </r>
  <r>
    <n v="0.02"/>
    <n v="34.979999999999997"/>
    <n v="7.53"/>
    <n v="392"/>
    <x v="0"/>
    <x v="1"/>
    <x v="1"/>
    <x v="7"/>
    <s v="Small Box"/>
    <s v="Fellowes EZ Multi-Media Keyboard"/>
    <n v="0.76"/>
    <x v="66"/>
    <n v="-159.68"/>
    <n v="37.159999999999997"/>
  </r>
  <r>
    <n v="0.08"/>
    <n v="43.22"/>
    <n v="16.71"/>
    <n v="169"/>
    <x v="0"/>
    <x v="1"/>
    <x v="1"/>
    <x v="7"/>
    <s v="Small Box"/>
    <s v="Fellowes Mobile Numeric Keypad, Graphite"/>
    <n v="0.66"/>
    <x v="67"/>
    <n v="280.27458000000001"/>
    <n v="130.62"/>
  </r>
  <r>
    <n v="0.05"/>
    <n v="161.55000000000001"/>
    <n v="19.989999999999998"/>
    <n v="87"/>
    <x v="0"/>
    <x v="1"/>
    <x v="0"/>
    <x v="14"/>
    <s v="Small Box"/>
    <s v="Fellowes Super Stor/Drawer® Files"/>
    <n v="0.66"/>
    <x v="32"/>
    <n v="1892.424"/>
    <n v="3127.69"/>
  </r>
  <r>
    <n v="0"/>
    <n v="161.55000000000001"/>
    <n v="19.989999999999998"/>
    <n v="197"/>
    <x v="0"/>
    <x v="0"/>
    <x v="0"/>
    <x v="14"/>
    <s v="Small Box"/>
    <s v="Fellowes Super Stor/Drawer® Files"/>
    <n v="0.66"/>
    <x v="68"/>
    <n v="1167.1579999999999"/>
    <n v="3108.98"/>
  </r>
  <r>
    <n v="0"/>
    <n v="161.55000000000001"/>
    <n v="19.989999999999998"/>
    <n v="198"/>
    <x v="0"/>
    <x v="0"/>
    <x v="0"/>
    <x v="14"/>
    <s v="Small Box"/>
    <s v="Fellowes Super Stor/Drawer® Files"/>
    <n v="0.66"/>
    <x v="16"/>
    <n v="1014.92"/>
    <n v="12599.55"/>
  </r>
  <r>
    <n v="7.0000000000000007E-2"/>
    <n v="9.7100000000000009"/>
    <n v="9.4499999999999993"/>
    <n v="393"/>
    <x v="0"/>
    <x v="1"/>
    <x v="0"/>
    <x v="14"/>
    <s v="Small Box"/>
    <s v="Filing/Storage Totes and Swivel Casters"/>
    <n v="0.6"/>
    <x v="69"/>
    <n v="-81.77"/>
    <n v="31.44"/>
  </r>
  <r>
    <n v="0.09"/>
    <n v="10.98"/>
    <n v="3.37"/>
    <n v="136"/>
    <x v="0"/>
    <x v="0"/>
    <x v="0"/>
    <x v="9"/>
    <s v="Small Pack"/>
    <s v="Fiskars® Softgrip Scissors"/>
    <n v="0.56999999999999995"/>
    <x v="70"/>
    <n v="2.706"/>
    <n v="84.52"/>
  </r>
  <r>
    <n v="0.05"/>
    <n v="10.98"/>
    <n v="3.37"/>
    <n v="144"/>
    <x v="0"/>
    <x v="0"/>
    <x v="0"/>
    <x v="9"/>
    <s v="Small Pack"/>
    <s v="Fiskars® Softgrip Scissors"/>
    <n v="0.56999999999999995"/>
    <x v="71"/>
    <n v="-2.544"/>
    <n v="64.400000000000006"/>
  </r>
  <r>
    <n v="7.0000000000000007E-2"/>
    <n v="2.12"/>
    <n v="1.99"/>
    <n v="115"/>
    <x v="0"/>
    <x v="2"/>
    <x v="1"/>
    <x v="7"/>
    <s v="Small Pack"/>
    <s v="Fuji Slim Jewel Case CD-R"/>
    <n v="0.55000000000000004"/>
    <x v="72"/>
    <n v="-55.84"/>
    <n v="26.07"/>
  </r>
  <r>
    <n v="7.0000000000000007E-2"/>
    <n v="2.12"/>
    <n v="1.99"/>
    <n v="117"/>
    <x v="0"/>
    <x v="2"/>
    <x v="1"/>
    <x v="7"/>
    <s v="Small Pack"/>
    <s v="Fuji Slim Jewel Case CD-R"/>
    <n v="0.55000000000000004"/>
    <x v="11"/>
    <n v="-55.84"/>
    <n v="99.94"/>
  </r>
  <r>
    <n v="0.08"/>
    <n v="896.99"/>
    <n v="19.989999999999998"/>
    <n v="84"/>
    <x v="0"/>
    <x v="1"/>
    <x v="0"/>
    <x v="5"/>
    <s v="Small Box"/>
    <s v="GBC DocuBind TL300 Electric Binding System"/>
    <n v="0.38"/>
    <x v="9"/>
    <n v="7402.32"/>
    <n v="10728"/>
  </r>
  <r>
    <n v="0.1"/>
    <n v="8.8800000000000008"/>
    <n v="6.28"/>
    <n v="387"/>
    <x v="1"/>
    <x v="1"/>
    <x v="0"/>
    <x v="5"/>
    <s v="Small Box"/>
    <s v="GBC Instant Index™ System for Binding Systems"/>
    <n v="0.35"/>
    <x v="73"/>
    <n v="-27.283750000000001"/>
    <n v="126.9"/>
  </r>
  <r>
    <n v="0.01"/>
    <n v="8.8800000000000008"/>
    <n v="6.28"/>
    <n v="451"/>
    <x v="0"/>
    <x v="2"/>
    <x v="0"/>
    <x v="5"/>
    <s v="Small Box"/>
    <s v="GBC Instant Index™ System for Binding Systems"/>
    <n v="0.35"/>
    <x v="3"/>
    <n v="-15.456"/>
    <n v="19.86"/>
  </r>
  <r>
    <n v="0.04"/>
    <n v="99.23"/>
    <n v="8.99"/>
    <n v="349"/>
    <x v="0"/>
    <x v="2"/>
    <x v="2"/>
    <x v="6"/>
    <s v="Small Pack"/>
    <s v="GE 48&quot; Fluorescent Tube, Cool White Energy Saver, 34 Watts, 30/Box"/>
    <n v="0.35"/>
    <x v="22"/>
    <n v="1916.6757"/>
    <n v="5555.6"/>
  </r>
  <r>
    <n v="0.04"/>
    <n v="99.23"/>
    <n v="8.99"/>
    <n v="351"/>
    <x v="0"/>
    <x v="2"/>
    <x v="2"/>
    <x v="6"/>
    <s v="Small Pack"/>
    <s v="GE 48&quot; Fluorescent Tube, Cool White Energy Saver, 34 Watts, 30/Box"/>
    <n v="0.35"/>
    <x v="23"/>
    <n v="993.83460000000002"/>
    <n v="1440.34"/>
  </r>
  <r>
    <n v="0.1"/>
    <n v="280.98"/>
    <n v="35.67"/>
    <n v="254"/>
    <x v="2"/>
    <x v="2"/>
    <x v="2"/>
    <x v="10"/>
    <s v="Jumbo Box"/>
    <s v="Global Adaptabilities™ Conference Tables"/>
    <n v="0.66"/>
    <x v="74"/>
    <n v="-53.744999999999997"/>
    <n v="1332.82"/>
  </r>
  <r>
    <n v="0.06"/>
    <n v="180.98"/>
    <n v="26.2"/>
    <n v="146"/>
    <x v="2"/>
    <x v="1"/>
    <x v="2"/>
    <x v="15"/>
    <s v="Jumbo Drum"/>
    <s v="Global Ergonomic Managers Chair"/>
    <n v="0.59"/>
    <x v="75"/>
    <n v="251.4084"/>
    <n v="929.57"/>
  </r>
  <r>
    <n v="0.09"/>
    <n v="122.99"/>
    <n v="70.2"/>
    <n v="68"/>
    <x v="2"/>
    <x v="1"/>
    <x v="2"/>
    <x v="15"/>
    <s v="Jumbo Drum"/>
    <s v="Global High-Back Leather Tilter, Burgundy"/>
    <n v="0.74"/>
    <x v="25"/>
    <n v="-2426.5500000000002"/>
    <n v="5718.85"/>
  </r>
  <r>
    <n v="0.09"/>
    <n v="122.99"/>
    <n v="70.2"/>
    <n v="70"/>
    <x v="2"/>
    <x v="1"/>
    <x v="2"/>
    <x v="15"/>
    <s v="Jumbo Drum"/>
    <s v="Global High-Back Leather Tilter, Burgundy"/>
    <n v="0.74"/>
    <x v="76"/>
    <n v="-2426.5500000000002"/>
    <n v="1400.53"/>
  </r>
  <r>
    <n v="0.03"/>
    <n v="60.89"/>
    <n v="32.409999999999997"/>
    <n v="228"/>
    <x v="2"/>
    <x v="0"/>
    <x v="2"/>
    <x v="15"/>
    <s v="Jumbo Drum"/>
    <s v="Global Push Button Manager's Chair, Indigo"/>
    <n v="0.56000000000000005"/>
    <x v="77"/>
    <n v="36.353999999999999"/>
    <n v="450.49"/>
  </r>
  <r>
    <n v="0.02"/>
    <n v="500.98"/>
    <n v="26"/>
    <n v="5"/>
    <x v="2"/>
    <x v="2"/>
    <x v="2"/>
    <x v="15"/>
    <s v="Jumbo Drum"/>
    <s v="Global Troy™ Executive Leather Low-Back Tilter"/>
    <n v="0.6"/>
    <x v="78"/>
    <n v="4390.3665000000001"/>
    <n v="6362.85"/>
  </r>
  <r>
    <n v="0"/>
    <n v="4.42"/>
    <n v="4.99"/>
    <n v="15"/>
    <x v="0"/>
    <x v="0"/>
    <x v="0"/>
    <x v="0"/>
    <s v="Small Box"/>
    <s v="Grip Seal Envelopes"/>
    <n v="0.38"/>
    <x v="79"/>
    <n v="-59.82"/>
    <n v="33.47"/>
  </r>
  <r>
    <n v="7.0000000000000007E-2"/>
    <n v="12.99"/>
    <n v="9.44"/>
    <n v="19"/>
    <x v="0"/>
    <x v="0"/>
    <x v="1"/>
    <x v="3"/>
    <s v="Medium Box"/>
    <s v="Hewlett Packard 6S Scientific Calculator"/>
    <n v="0.39"/>
    <x v="80"/>
    <n v="-114.6399"/>
    <n v="231.79"/>
  </r>
  <r>
    <n v="7.0000000000000007E-2"/>
    <n v="12.99"/>
    <n v="9.44"/>
    <n v="21"/>
    <x v="0"/>
    <x v="0"/>
    <x v="1"/>
    <x v="3"/>
    <s v="Medium Box"/>
    <s v="Hewlett Packard 6S Scientific Calculator"/>
    <n v="0.39"/>
    <x v="25"/>
    <n v="-114.6399"/>
    <n v="914.29"/>
  </r>
  <r>
    <n v="0.05"/>
    <n v="119.99"/>
    <n v="56.14"/>
    <n v="218"/>
    <x v="2"/>
    <x v="3"/>
    <x v="1"/>
    <x v="3"/>
    <s v="Jumbo Box"/>
    <s v="Hewlett-Packard 2600DN Business Color Inkjet Printer"/>
    <n v="0.39"/>
    <x v="81"/>
    <n v="-102.5121"/>
    <n v="730.37"/>
  </r>
  <r>
    <n v="0.1"/>
    <n v="80.97"/>
    <n v="30.06"/>
    <n v="271"/>
    <x v="2"/>
    <x v="0"/>
    <x v="1"/>
    <x v="3"/>
    <s v="Jumbo Box"/>
    <s v="Hewlett-Packard Deskjet 940 REFURBISHED Color Inkjet Printer"/>
    <n v="0.4"/>
    <x v="82"/>
    <n v="128.02529999999999"/>
    <n v="899.81"/>
  </r>
  <r>
    <n v="0.04"/>
    <n v="1637.53"/>
    <n v="24.49"/>
    <n v="314"/>
    <x v="0"/>
    <x v="1"/>
    <x v="0"/>
    <x v="9"/>
    <s v="Medium Box"/>
    <s v="High Speed Automatic Electric Letter Opener"/>
    <n v="0.81"/>
    <x v="82"/>
    <n v="-1759.58"/>
    <n v="3206.94"/>
  </r>
  <r>
    <n v="0.06"/>
    <n v="14.42"/>
    <n v="6.75"/>
    <n v="468"/>
    <x v="0"/>
    <x v="0"/>
    <x v="0"/>
    <x v="4"/>
    <s v="Medium Box"/>
    <s v="Holmes Odor Grabber"/>
    <n v="0.52"/>
    <x v="83"/>
    <n v="-27.738800000000001"/>
    <n v="73.040000000000006"/>
  </r>
  <r>
    <n v="0"/>
    <n v="291.73"/>
    <n v="48.8"/>
    <n v="68"/>
    <x v="2"/>
    <x v="1"/>
    <x v="2"/>
    <x v="15"/>
    <s v="Jumbo Drum"/>
    <s v="Hon 4070 Series Pagoda™ Armless Upholstered Stacking Chairs"/>
    <n v="0.56000000000000005"/>
    <x v="25"/>
    <n v="-308.928"/>
    <n v="1239.06"/>
  </r>
  <r>
    <n v="0.04"/>
    <n v="296.18"/>
    <n v="54.12"/>
    <n v="83"/>
    <x v="2"/>
    <x v="1"/>
    <x v="2"/>
    <x v="10"/>
    <s v="Jumbo Box"/>
    <s v="Hon 94000 Series Round Tables"/>
    <n v="0.76"/>
    <x v="84"/>
    <n v="-715.77820599999995"/>
    <n v="1821.89"/>
  </r>
  <r>
    <n v="0.01"/>
    <n v="296.18"/>
    <n v="54.12"/>
    <n v="87"/>
    <x v="2"/>
    <x v="1"/>
    <x v="2"/>
    <x v="10"/>
    <s v="Jumbo Box"/>
    <s v="Hon 94000 Series Round Tables"/>
    <n v="0.76"/>
    <x v="32"/>
    <n v="173.48"/>
    <n v="2875.72"/>
  </r>
  <r>
    <n v="0.06"/>
    <n v="296.18"/>
    <n v="54.12"/>
    <n v="329"/>
    <x v="2"/>
    <x v="2"/>
    <x v="2"/>
    <x v="10"/>
    <s v="Jumbo Box"/>
    <s v="Hon 94000 Series Round Tables"/>
    <n v="0.76"/>
    <x v="85"/>
    <n v="-715.77820599999995"/>
    <n v="1170.21"/>
  </r>
  <r>
    <n v="0.05"/>
    <n v="31.76"/>
    <n v="45.51"/>
    <n v="263"/>
    <x v="2"/>
    <x v="0"/>
    <x v="2"/>
    <x v="10"/>
    <s v="Jumbo Box"/>
    <s v="Hon iLevel™ Computer Training Table"/>
    <n v="0.65"/>
    <x v="86"/>
    <n v="-2177.9860960000001"/>
    <n v="304.33999999999997"/>
  </r>
  <r>
    <n v="7.0000000000000007E-2"/>
    <n v="100.98"/>
    <n v="45"/>
    <n v="68"/>
    <x v="2"/>
    <x v="1"/>
    <x v="2"/>
    <x v="15"/>
    <s v="Jumbo Drum"/>
    <s v="Hon Valutask™ Swivel Chairs"/>
    <n v="0.69"/>
    <x v="25"/>
    <n v="-1679.76"/>
    <n v="4083.19"/>
  </r>
  <r>
    <n v="0.08"/>
    <n v="7.77"/>
    <n v="9.23"/>
    <n v="339"/>
    <x v="0"/>
    <x v="1"/>
    <x v="0"/>
    <x v="4"/>
    <s v="Small Box"/>
    <s v="Hoover Commercial Soft Guard Upright Vacuum And Disposable Filtration Bags"/>
    <n v="0.57999999999999996"/>
    <x v="87"/>
    <n v="-83.65"/>
    <n v="40.299999999999997"/>
  </r>
  <r>
    <n v="0.05"/>
    <n v="178.47"/>
    <n v="19.989999999999998"/>
    <n v="411"/>
    <x v="1"/>
    <x v="3"/>
    <x v="0"/>
    <x v="14"/>
    <s v="Small Box"/>
    <s v="Hot File® 7-Pocket, Floor Stand"/>
    <n v="0.55000000000000004"/>
    <x v="65"/>
    <n v="943"/>
    <n v="1531.31"/>
  </r>
  <r>
    <n v="0.09"/>
    <n v="78.69"/>
    <n v="19.989999999999998"/>
    <n v="14"/>
    <x v="0"/>
    <x v="0"/>
    <x v="2"/>
    <x v="6"/>
    <s v="Small Box"/>
    <s v="Howard Miller 12-3/4 Diameter Accuwave DS ™ Wall Clock"/>
    <n v="0.43"/>
    <x v="88"/>
    <n v="803.47050000000002"/>
    <n v="1164.45"/>
  </r>
  <r>
    <n v="0.05"/>
    <n v="63.94"/>
    <n v="14.48"/>
    <n v="398"/>
    <x v="0"/>
    <x v="1"/>
    <x v="2"/>
    <x v="6"/>
    <s v="Small Box"/>
    <s v="Howard Miller 16&quot; Diameter Gallery Wall Clock"/>
    <n v="0.46"/>
    <x v="89"/>
    <n v="1372.6307999999999"/>
    <n v="1989.32"/>
  </r>
  <r>
    <n v="0.08"/>
    <n v="34.99"/>
    <n v="7.73"/>
    <n v="32"/>
    <x v="0"/>
    <x v="1"/>
    <x v="0"/>
    <x v="13"/>
    <s v="Small Box"/>
    <s v="Hunt Boston® Vacuum Mount KS Pencil Sharpener"/>
    <n v="0.59"/>
    <x v="48"/>
    <n v="144.69"/>
    <n v="424.68"/>
  </r>
  <r>
    <n v="0.03"/>
    <n v="7.37"/>
    <n v="5.53"/>
    <n v="202"/>
    <x v="0"/>
    <x v="1"/>
    <x v="1"/>
    <x v="7"/>
    <s v="Small Pack"/>
    <s v="Imation 3.5&quot; Unformatted DS/HD Diskettes, 10/Box"/>
    <n v="0.69"/>
    <x v="90"/>
    <n v="-133.69999999999999"/>
    <n v="85.79"/>
  </r>
  <r>
    <n v="0.04"/>
    <n v="4.9800000000000004"/>
    <n v="4.62"/>
    <n v="290"/>
    <x v="0"/>
    <x v="0"/>
    <x v="1"/>
    <x v="7"/>
    <s v="Small Pack"/>
    <s v="Imation 3.5&quot;, DISKETTE 44766 HGHLD3.52HD/FM, 10/Pack"/>
    <n v="0.64"/>
    <x v="91"/>
    <n v="-135.16"/>
    <n v="102.54"/>
  </r>
  <r>
    <n v="0"/>
    <n v="73.98"/>
    <n v="12.14"/>
    <n v="266"/>
    <x v="1"/>
    <x v="1"/>
    <x v="1"/>
    <x v="7"/>
    <s v="Small Box"/>
    <s v="Keytronic 105-Key Spanish Keyboard"/>
    <n v="0.67"/>
    <x v="92"/>
    <n v="326.25"/>
    <n v="1300.81"/>
  </r>
  <r>
    <n v="0.05"/>
    <n v="2.08"/>
    <n v="2.56"/>
    <n v="211"/>
    <x v="0"/>
    <x v="2"/>
    <x v="0"/>
    <x v="9"/>
    <s v="Small Pack"/>
    <s v="Kleencut® Forged Office Shears by Acme United Corporation"/>
    <n v="0.55000000000000004"/>
    <x v="93"/>
    <n v="-36.25"/>
    <n v="42.29"/>
  </r>
  <r>
    <n v="7.0000000000000007E-2"/>
    <n v="154.13"/>
    <n v="69"/>
    <n v="145"/>
    <x v="1"/>
    <x v="2"/>
    <x v="2"/>
    <x v="10"/>
    <s v="Large Box"/>
    <s v="Laminate Occasional Tables"/>
    <n v="0.68"/>
    <x v="94"/>
    <n v="-634.73410000000001"/>
    <n v="453.62"/>
  </r>
  <r>
    <n v="0.1"/>
    <n v="154.13"/>
    <n v="69"/>
    <n v="397"/>
    <x v="0"/>
    <x v="1"/>
    <x v="2"/>
    <x v="10"/>
    <s v="Large Box"/>
    <s v="Laminate Occasional Tables"/>
    <n v="0.68"/>
    <x v="95"/>
    <n v="-372.48597100000001"/>
    <n v="1216.32"/>
  </r>
  <r>
    <n v="0.03"/>
    <n v="28.53"/>
    <n v="1.49"/>
    <n v="234"/>
    <x v="0"/>
    <x v="0"/>
    <x v="0"/>
    <x v="5"/>
    <s v="Small Box"/>
    <s v="Lock-Up Easel 'Spel-Binder'"/>
    <n v="0.38"/>
    <x v="63"/>
    <n v="136.33709999999999"/>
    <n v="197.59"/>
  </r>
  <r>
    <n v="0.04"/>
    <n v="15.98"/>
    <n v="4"/>
    <n v="395"/>
    <x v="0"/>
    <x v="1"/>
    <x v="1"/>
    <x v="7"/>
    <s v="Small Box"/>
    <s v="Logitech Access Keyboard"/>
    <n v="0.37"/>
    <x v="96"/>
    <n v="-19.207999999999998"/>
    <n v="64.59"/>
  </r>
  <r>
    <n v="0.04"/>
    <n v="125.99"/>
    <n v="8.99"/>
    <n v="358"/>
    <x v="0"/>
    <x v="1"/>
    <x v="1"/>
    <x v="2"/>
    <s v="Small Box"/>
    <s v="M70"/>
    <n v="0.59"/>
    <x v="97"/>
    <n v="-627.82191999999998"/>
    <n v="107.95"/>
  </r>
  <r>
    <n v="0.05"/>
    <n v="10.98"/>
    <n v="4.8"/>
    <n v="428"/>
    <x v="0"/>
    <x v="1"/>
    <x v="0"/>
    <x v="0"/>
    <s v="Small Box"/>
    <s v="Manila Recycled Extra-Heavyweight Clasp Envelopes, 6&quot; x 9&quot;"/>
    <n v="0.36"/>
    <x v="13"/>
    <n v="90.62"/>
    <n v="243.11"/>
  </r>
  <r>
    <n v="7.0000000000000007E-2"/>
    <n v="7.59"/>
    <n v="4"/>
    <n v="339"/>
    <x v="0"/>
    <x v="1"/>
    <x v="2"/>
    <x v="6"/>
    <s v="Wrap Bag"/>
    <s v="Master Giant Foot® Doorstop, Safety Yellow"/>
    <n v="0.42"/>
    <x v="87"/>
    <n v="24.39"/>
    <n v="111.88"/>
  </r>
  <r>
    <n v="0"/>
    <n v="7.59"/>
    <n v="4"/>
    <n v="444"/>
    <x v="0"/>
    <x v="0"/>
    <x v="2"/>
    <x v="6"/>
    <s v="Wrap Bag"/>
    <s v="Master Giant Foot® Doorstop, Safety Yellow"/>
    <n v="0.42"/>
    <x v="98"/>
    <n v="86.438000000000002"/>
    <n v="355.92"/>
  </r>
  <r>
    <n v="0.08"/>
    <n v="4.8899999999999997"/>
    <n v="4.93"/>
    <n v="353"/>
    <x v="1"/>
    <x v="2"/>
    <x v="1"/>
    <x v="7"/>
    <s v="Small Pack"/>
    <s v="Maxell 3.5&quot; DS/HD IBM-Formatted Diskettes, 10/Pack"/>
    <n v="0.66"/>
    <x v="99"/>
    <n v="-165.45"/>
    <n v="84.76"/>
  </r>
  <r>
    <n v="0.05"/>
    <n v="17.48"/>
    <n v="1.99"/>
    <n v="258"/>
    <x v="0"/>
    <x v="3"/>
    <x v="1"/>
    <x v="7"/>
    <s v="Small Pack"/>
    <s v="Maxell Pro 80 Minute CD-R, 10/Pack"/>
    <n v="0.45"/>
    <x v="100"/>
    <n v="-127.008"/>
    <n v="52.47"/>
  </r>
  <r>
    <n v="0.01"/>
    <n v="15.28"/>
    <n v="1.99"/>
    <n v="234"/>
    <x v="0"/>
    <x v="0"/>
    <x v="1"/>
    <x v="7"/>
    <s v="Small Pack"/>
    <s v="Memorex 4.7GB DVD+R, 3/Pack"/>
    <n v="0.42"/>
    <x v="63"/>
    <n v="-12.46"/>
    <n v="33.04"/>
  </r>
  <r>
    <n v="0.02"/>
    <n v="15.28"/>
    <n v="1.99"/>
    <n v="428"/>
    <x v="0"/>
    <x v="1"/>
    <x v="1"/>
    <x v="7"/>
    <s v="Small Pack"/>
    <s v="Memorex 4.7GB DVD+R, 3/Pack"/>
    <n v="0.42"/>
    <x v="13"/>
    <n v="163.1574"/>
    <n v="236.46"/>
  </r>
  <r>
    <n v="0.09"/>
    <n v="28.48"/>
    <n v="1.99"/>
    <n v="288"/>
    <x v="0"/>
    <x v="0"/>
    <x v="1"/>
    <x v="7"/>
    <s v="Small Pack"/>
    <s v="Memorex 4.7GB DVD+RW, 3/Pack"/>
    <n v="0.4"/>
    <x v="101"/>
    <n v="132.68700000000001"/>
    <n v="192.3"/>
  </r>
  <r>
    <n v="0.1"/>
    <n v="39.979999999999997"/>
    <n v="4"/>
    <n v="152"/>
    <x v="0"/>
    <x v="0"/>
    <x v="1"/>
    <x v="7"/>
    <s v="Small Box"/>
    <s v="Microsoft Natural Keyboard Elite"/>
    <n v="0.7"/>
    <x v="57"/>
    <n v="360.24"/>
    <n v="772.56"/>
  </r>
  <r>
    <n v="0.08"/>
    <n v="65.989999999999995"/>
    <n v="4.99"/>
    <n v="288"/>
    <x v="1"/>
    <x v="0"/>
    <x v="1"/>
    <x v="2"/>
    <s v="Small Box"/>
    <s v="MicroTAC 650"/>
    <n v="0.57999999999999996"/>
    <x v="101"/>
    <n v="496.89"/>
    <n v="748.1"/>
  </r>
  <r>
    <n v="7.0000000000000007E-2"/>
    <n v="179.99"/>
    <n v="19.989999999999998"/>
    <n v="471"/>
    <x v="1"/>
    <x v="3"/>
    <x v="1"/>
    <x v="7"/>
    <s v="Small Box"/>
    <s v="Motorola SB4200 Cable Modem"/>
    <n v="0.48"/>
    <x v="102"/>
    <n v="-568.53510000000006"/>
    <n v="718.03"/>
  </r>
  <r>
    <n v="7.0000000000000007E-2"/>
    <n v="179.99"/>
    <n v="19.989999999999998"/>
    <n v="472"/>
    <x v="1"/>
    <x v="3"/>
    <x v="1"/>
    <x v="7"/>
    <s v="Small Box"/>
    <s v="Motorola SB4200 Cable Modem"/>
    <n v="0.48"/>
    <x v="103"/>
    <n v="-427.47"/>
    <n v="179.51"/>
  </r>
  <r>
    <n v="0"/>
    <n v="11.55"/>
    <n v="2.36"/>
    <n v="210"/>
    <x v="0"/>
    <x v="2"/>
    <x v="0"/>
    <x v="13"/>
    <s v="Wrap Bag"/>
    <s v="Newell 309"/>
    <n v="0.55000000000000004"/>
    <x v="7"/>
    <n v="23.594999999999999"/>
    <n v="62.98"/>
  </r>
  <r>
    <n v="0.06"/>
    <n v="1.76"/>
    <n v="0.7"/>
    <n v="56"/>
    <x v="0"/>
    <x v="3"/>
    <x v="0"/>
    <x v="13"/>
    <s v="Wrap Bag"/>
    <s v="Newell 310"/>
    <n v="0.56000000000000005"/>
    <x v="55"/>
    <n v="-1.6524000000000001"/>
    <n v="29.57"/>
  </r>
  <r>
    <n v="0.08"/>
    <n v="3.28"/>
    <n v="2.31"/>
    <n v="14"/>
    <x v="0"/>
    <x v="0"/>
    <x v="0"/>
    <x v="13"/>
    <s v="Wrap Bag"/>
    <s v="Newell 321"/>
    <n v="0.56000000000000005"/>
    <x v="88"/>
    <n v="-24.03"/>
    <n v="22.23"/>
  </r>
  <r>
    <n v="0.02"/>
    <n v="1.68"/>
    <n v="1.57"/>
    <n v="24"/>
    <x v="0"/>
    <x v="1"/>
    <x v="0"/>
    <x v="13"/>
    <s v="Wrap Bag"/>
    <s v="Newell 323"/>
    <n v="0.59"/>
    <x v="104"/>
    <n v="-5.3071999999999999"/>
    <n v="2.25"/>
  </r>
  <r>
    <n v="7.0000000000000007E-2"/>
    <n v="1.68"/>
    <n v="1.57"/>
    <n v="181"/>
    <x v="0"/>
    <x v="1"/>
    <x v="0"/>
    <x v="13"/>
    <s v="Wrap Bag"/>
    <s v="Newell 323"/>
    <n v="0.59"/>
    <x v="105"/>
    <n v="-35.75"/>
    <n v="186.59"/>
  </r>
  <r>
    <n v="7.0000000000000007E-2"/>
    <n v="1.68"/>
    <n v="1.57"/>
    <n v="188"/>
    <x v="0"/>
    <x v="1"/>
    <x v="0"/>
    <x v="13"/>
    <s v="Wrap Bag"/>
    <s v="Newell 323"/>
    <n v="0.59"/>
    <x v="106"/>
    <n v="7.15"/>
    <n v="46.65"/>
  </r>
  <r>
    <n v="0.1"/>
    <n v="1.68"/>
    <n v="1.57"/>
    <n v="283"/>
    <x v="0"/>
    <x v="1"/>
    <x v="0"/>
    <x v="13"/>
    <s v="Wrap Bag"/>
    <s v="Newell 323"/>
    <n v="0.59"/>
    <x v="107"/>
    <n v="-11.57"/>
    <n v="18.71"/>
  </r>
  <r>
    <n v="0.09"/>
    <n v="2.78"/>
    <n v="0.97"/>
    <n v="445"/>
    <x v="0"/>
    <x v="0"/>
    <x v="0"/>
    <x v="13"/>
    <s v="Wrap Bag"/>
    <s v="Newell 333"/>
    <n v="0.59"/>
    <x v="1"/>
    <n v="-3.7839999999999998"/>
    <n v="29.02"/>
  </r>
  <r>
    <n v="0.09"/>
    <n v="2.88"/>
    <n v="0.7"/>
    <n v="152"/>
    <x v="0"/>
    <x v="3"/>
    <x v="0"/>
    <x v="13"/>
    <s v="Wrap Bag"/>
    <s v="Newell 335"/>
    <n v="0.56000000000000005"/>
    <x v="57"/>
    <n v="-172.71799999999999"/>
    <n v="5.5"/>
  </r>
  <r>
    <n v="0.04"/>
    <n v="2.94"/>
    <n v="0.7"/>
    <n v="33"/>
    <x v="0"/>
    <x v="1"/>
    <x v="0"/>
    <x v="13"/>
    <s v="Wrap Bag"/>
    <s v="Newell 338"/>
    <n v="0.57999999999999996"/>
    <x v="108"/>
    <n v="24.312000000000001"/>
    <n v="53.1"/>
  </r>
  <r>
    <n v="0.09"/>
    <n v="2.88"/>
    <n v="0.7"/>
    <n v="259"/>
    <x v="0"/>
    <x v="3"/>
    <x v="0"/>
    <x v="13"/>
    <s v="Wrap Bag"/>
    <s v="Newell 340"/>
    <n v="0.56000000000000005"/>
    <x v="109"/>
    <n v="5.7531999999999996"/>
    <n v="26.38"/>
  </r>
  <r>
    <n v="0.05"/>
    <n v="3.28"/>
    <n v="4.2"/>
    <n v="14"/>
    <x v="0"/>
    <x v="0"/>
    <x v="0"/>
    <x v="13"/>
    <s v="Wrap Bag"/>
    <s v="Newell 351"/>
    <n v="0.56000000000000005"/>
    <x v="88"/>
    <n v="-37.03"/>
    <n v="13.99"/>
  </r>
  <r>
    <n v="0.04"/>
    <n v="130.97999999999999"/>
    <n v="30"/>
    <n v="447"/>
    <x v="2"/>
    <x v="1"/>
    <x v="2"/>
    <x v="15"/>
    <s v="Jumbo Drum"/>
    <s v="Office Star - Contemporary Task Swivel chair with 2-way adjustable arms, Plum"/>
    <n v="0.78"/>
    <x v="4"/>
    <n v="-82.903999999999996"/>
    <n v="159.51"/>
  </r>
  <r>
    <n v="0.04"/>
    <n v="160.97999999999999"/>
    <n v="30"/>
    <n v="94"/>
    <x v="2"/>
    <x v="2"/>
    <x v="2"/>
    <x v="15"/>
    <s v="Jumbo Drum"/>
    <s v="Office Star - Mid Back Dual function Ergonomic High Back Chair with 2-Way Adjustable Arms"/>
    <n v="0.62"/>
    <x v="42"/>
    <n v="116.1"/>
    <n v="6276.34"/>
  </r>
  <r>
    <n v="0.04"/>
    <n v="160.97999999999999"/>
    <n v="30"/>
    <n v="97"/>
    <x v="2"/>
    <x v="2"/>
    <x v="2"/>
    <x v="15"/>
    <s v="Jumbo Drum"/>
    <s v="Office Star - Mid Back Dual function Ergonomic High Back Chair with 2-Way Adjustable Arms"/>
    <n v="0.62"/>
    <x v="110"/>
    <n v="255.42"/>
    <n v="1526.68"/>
  </r>
  <r>
    <n v="0.03"/>
    <n v="160.97999999999999"/>
    <n v="30"/>
    <n v="389"/>
    <x v="2"/>
    <x v="1"/>
    <x v="2"/>
    <x v="15"/>
    <s v="Jumbo Drum"/>
    <s v="Office Star - Mid Back Dual function Ergonomic High Back Chair with 2-Way Adjustable Arms"/>
    <n v="0.62"/>
    <x v="111"/>
    <n v="1273.2086999999999"/>
    <n v="1845.23"/>
  </r>
  <r>
    <n v="0.05"/>
    <n v="3.58"/>
    <n v="1.63"/>
    <n v="14"/>
    <x v="0"/>
    <x v="0"/>
    <x v="0"/>
    <x v="8"/>
    <s v="Wrap Bag"/>
    <s v="OIC Colored Binder Clips, Assorted Sizes"/>
    <n v="0.36"/>
    <x v="88"/>
    <n v="-0.71"/>
    <n v="14.26"/>
  </r>
  <r>
    <n v="0.08"/>
    <n v="399.98"/>
    <n v="12.06"/>
    <n v="166"/>
    <x v="2"/>
    <x v="3"/>
    <x v="1"/>
    <x v="3"/>
    <s v="Jumbo Box"/>
    <s v="Okidata ML320 Series Turbo Dot Matrix Printers"/>
    <n v="0.56000000000000005"/>
    <x v="112"/>
    <n v="28.514099999999999"/>
    <n v="1839.91"/>
  </r>
  <r>
    <n v="0"/>
    <n v="442.14"/>
    <n v="14.7"/>
    <n v="236"/>
    <x v="2"/>
    <x v="1"/>
    <x v="1"/>
    <x v="3"/>
    <s v="Jumbo Drum"/>
    <s v="Okidata ML390 Turbo Dot Matrix Printers"/>
    <n v="0.56000000000000005"/>
    <x v="113"/>
    <n v="3294.8258999999998"/>
    <n v="4775.1099999999997"/>
  </r>
  <r>
    <n v="7.0000000000000007E-2"/>
    <n v="3502.14"/>
    <n v="8.73"/>
    <n v="53"/>
    <x v="2"/>
    <x v="1"/>
    <x v="1"/>
    <x v="3"/>
    <s v="Jumbo Box"/>
    <s v="Okidata Pacemark 4410N Wide Format Dot Matrix Printer"/>
    <n v="0.56999999999999995"/>
    <x v="29"/>
    <n v="-6923.5991999999997"/>
    <n v="3267.55"/>
  </r>
  <r>
    <n v="0.1"/>
    <n v="130.97999999999999"/>
    <n v="54.74"/>
    <n v="286"/>
    <x v="2"/>
    <x v="0"/>
    <x v="2"/>
    <x v="11"/>
    <s v="Jumbo Box"/>
    <s v="O'Sullivan Elevations Bookcase, Cherry Finish"/>
    <n v="0.69"/>
    <x v="19"/>
    <n v="-530.24"/>
    <n v="1155.73"/>
  </r>
  <r>
    <n v="0.02"/>
    <n v="200.98"/>
    <n v="55.96"/>
    <n v="373"/>
    <x v="2"/>
    <x v="0"/>
    <x v="2"/>
    <x v="11"/>
    <s v="Jumbo Box"/>
    <s v="O'Sullivan Living Dimensions 3-Shelf Bookcases"/>
    <n v="0.75"/>
    <x v="16"/>
    <n v="-163.63"/>
    <n v="9539.6"/>
  </r>
  <r>
    <n v="0.02"/>
    <n v="200.98"/>
    <n v="55.96"/>
    <n v="375"/>
    <x v="2"/>
    <x v="0"/>
    <x v="2"/>
    <x v="11"/>
    <s v="Jumbo Box"/>
    <s v="O'Sullivan Living Dimensions 3-Shelf Bookcases"/>
    <n v="0.75"/>
    <x v="114"/>
    <n v="-224.9478"/>
    <n v="2331.9"/>
  </r>
  <r>
    <n v="0.09"/>
    <n v="200.98"/>
    <n v="55.96"/>
    <n v="445"/>
    <x v="2"/>
    <x v="0"/>
    <x v="2"/>
    <x v="11"/>
    <s v="Jumbo Box"/>
    <s v="O'Sullivan Living Dimensions 3-Shelf Bookcases"/>
    <n v="0.75"/>
    <x v="1"/>
    <n v="-512.87199999999996"/>
    <n v="1766.68"/>
  </r>
  <r>
    <n v="0"/>
    <n v="213.45"/>
    <n v="14.7"/>
    <n v="193"/>
    <x v="2"/>
    <x v="1"/>
    <x v="1"/>
    <x v="3"/>
    <s v="Jumbo Drum"/>
    <s v="Panasonic KX-P2130 Dot Matrix Printer"/>
    <n v="0.59"/>
    <x v="35"/>
    <n v="-560.81417999999996"/>
    <n v="224.12"/>
  </r>
  <r>
    <n v="0.08"/>
    <n v="297.64"/>
    <n v="14.7"/>
    <n v="466"/>
    <x v="2"/>
    <x v="0"/>
    <x v="1"/>
    <x v="3"/>
    <s v="Jumbo Drum"/>
    <s v="Panasonic KX-P3200 Dot Matrix Printer"/>
    <n v="0.56999999999999995"/>
    <x v="115"/>
    <n v="496.79680000000002"/>
    <n v="1132.8399999999999"/>
  </r>
  <r>
    <n v="0.09"/>
    <n v="32.979999999999997"/>
    <n v="5.5"/>
    <n v="151"/>
    <x v="0"/>
    <x v="2"/>
    <x v="1"/>
    <x v="7"/>
    <s v="Small Box"/>
    <s v="PC Concepts 116 Key Quantum 3000 Keyboard"/>
    <n v="0.75"/>
    <x v="116"/>
    <n v="-20.257999999999999"/>
    <n v="62.46"/>
  </r>
  <r>
    <n v="0.09"/>
    <n v="999.99"/>
    <n v="13.99"/>
    <n v="421"/>
    <x v="0"/>
    <x v="0"/>
    <x v="1"/>
    <x v="3"/>
    <s v="Medium Box"/>
    <s v="Polycom Soundstation EX Audio-Conferencing Telephone, Black"/>
    <n v="0.36"/>
    <x v="117"/>
    <n v="-2531.4825000000001"/>
    <n v="919.09"/>
  </r>
  <r>
    <n v="0.05"/>
    <n v="574.74"/>
    <n v="24.49"/>
    <n v="169"/>
    <x v="0"/>
    <x v="1"/>
    <x v="1"/>
    <x v="3"/>
    <s v="Large Box"/>
    <s v="Polycom ViaVideo™ Desktop Video Communications Unit"/>
    <n v="0.37"/>
    <x v="67"/>
    <n v="-112.4263"/>
    <n v="6945.16"/>
  </r>
  <r>
    <n v="0.06"/>
    <n v="5.34"/>
    <n v="5.63"/>
    <n v="383"/>
    <x v="0"/>
    <x v="1"/>
    <x v="0"/>
    <x v="5"/>
    <s v="Small Box"/>
    <s v="Pressboard Data Binder, Crimson, 12&quot; X 8 1/2&quot;"/>
    <n v="0.39"/>
    <x v="118"/>
    <n v="-82.822999999999993"/>
    <n v="38.65"/>
  </r>
  <r>
    <n v="7.0000000000000007E-2"/>
    <n v="19.84"/>
    <n v="4.0999999999999996"/>
    <n v="91"/>
    <x v="0"/>
    <x v="2"/>
    <x v="0"/>
    <x v="13"/>
    <s v="Wrap Bag"/>
    <s v="Prismacolor Color Pencil Set"/>
    <n v="0.44"/>
    <x v="28"/>
    <n v="117.852"/>
    <n v="170.8"/>
  </r>
  <r>
    <n v="0.09"/>
    <n v="15.28"/>
    <n v="10.91"/>
    <n v="275"/>
    <x v="0"/>
    <x v="1"/>
    <x v="0"/>
    <x v="5"/>
    <s v="Small Box"/>
    <s v="Recycled Premium Regency Composition Covers"/>
    <n v="0.36"/>
    <x v="119"/>
    <n v="-51.75"/>
    <n v="61.52"/>
  </r>
  <r>
    <n v="7.0000000000000007E-2"/>
    <n v="8.34"/>
    <n v="1.43"/>
    <n v="92"/>
    <x v="0"/>
    <x v="2"/>
    <x v="0"/>
    <x v="1"/>
    <s v="Wrap Bag"/>
    <s v="REDIFORM Incoming/Outgoing Call Register, 11&quot; X 8 1/2&quot;, 100 Messages"/>
    <n v="0.35"/>
    <x v="20"/>
    <n v="-190.68"/>
    <n v="132.08000000000001"/>
  </r>
  <r>
    <n v="0.03"/>
    <n v="4.9800000000000004"/>
    <n v="0.8"/>
    <n v="406"/>
    <x v="0"/>
    <x v="0"/>
    <x v="0"/>
    <x v="1"/>
    <s v="Wrap Bag"/>
    <s v="Rediform S.O.S. Phone Message Books"/>
    <n v="0.36"/>
    <x v="120"/>
    <n v="50.2044"/>
    <n v="72.760000000000005"/>
  </r>
  <r>
    <n v="7.0000000000000007E-2"/>
    <n v="10.06"/>
    <n v="2.06"/>
    <n v="188"/>
    <x v="0"/>
    <x v="1"/>
    <x v="0"/>
    <x v="1"/>
    <s v="Wrap Bag"/>
    <s v="Riverleaf Stik-Withit® Designer Note Cubes®"/>
    <n v="0.39"/>
    <x v="106"/>
    <n v="152.65559999999999"/>
    <n v="221.24"/>
  </r>
  <r>
    <n v="0.01"/>
    <n v="10.06"/>
    <n v="2.06"/>
    <n v="211"/>
    <x v="0"/>
    <x v="3"/>
    <x v="0"/>
    <x v="1"/>
    <s v="Wrap Bag"/>
    <s v="Riverleaf Stik-Withit® Designer Note Cubes®"/>
    <n v="0.39"/>
    <x v="93"/>
    <n v="7.59"/>
    <n v="21.2"/>
  </r>
  <r>
    <n v="0.06"/>
    <n v="276.2"/>
    <n v="24.49"/>
    <n v="335"/>
    <x v="0"/>
    <x v="1"/>
    <x v="2"/>
    <x v="15"/>
    <s v="Large Box"/>
    <s v="SAFCO Arco Folding Chair"/>
    <m/>
    <x v="64"/>
    <n v="2639.4708000000001"/>
    <n v="3825.32"/>
  </r>
  <r>
    <n v="0.01"/>
    <n v="2.84"/>
    <n v="0.93"/>
    <n v="3"/>
    <x v="1"/>
    <x v="1"/>
    <x v="0"/>
    <x v="13"/>
    <s v="Wrap Bag"/>
    <s v="SANFORD Liquid Accent™ Tank-Style Highlighters"/>
    <n v="0.54"/>
    <x v="121"/>
    <n v="4.5599999999999996"/>
    <n v="13.01"/>
  </r>
  <r>
    <n v="0.06"/>
    <n v="279.81"/>
    <n v="23.19"/>
    <n v="234"/>
    <x v="2"/>
    <x v="0"/>
    <x v="0"/>
    <x v="4"/>
    <s v="Jumbo Drum"/>
    <s v="Sanyo 2.5 Cubic Foot Mid-Size Office Refrigerators"/>
    <n v="0.59"/>
    <x v="63"/>
    <n v="1103.9724000000001"/>
    <n v="1599.96"/>
  </r>
  <r>
    <n v="0.05"/>
    <n v="328.14"/>
    <n v="91.05"/>
    <n v="366"/>
    <x v="2"/>
    <x v="0"/>
    <x v="0"/>
    <x v="4"/>
    <s v="Jumbo Drum"/>
    <s v="Sanyo Counter Height Refrigerator with Crisper, 3.6 Cubic Foot, Stainless Steel/Black"/>
    <n v="0.56999999999999995"/>
    <x v="122"/>
    <n v="411.5172"/>
    <n v="1967.98"/>
  </r>
  <r>
    <n v="0.03"/>
    <n v="29.34"/>
    <n v="7.87"/>
    <n v="453"/>
    <x v="0"/>
    <x v="1"/>
    <x v="2"/>
    <x v="6"/>
    <s v="Small Box"/>
    <s v="Seth Thomas 14&quot; Putty-Colored Wall Clock"/>
    <n v="0.54"/>
    <x v="123"/>
    <n v="-41.32"/>
    <n v="32.4"/>
  </r>
  <r>
    <n v="0.02"/>
    <n v="20.28"/>
    <n v="6.68"/>
    <n v="210"/>
    <x v="0"/>
    <x v="2"/>
    <x v="2"/>
    <x v="6"/>
    <s v="Small Box"/>
    <s v="Seth Thomas 8 1/2&quot; Cubicle Clock"/>
    <n v="0.53"/>
    <x v="7"/>
    <n v="44.677500000000002"/>
    <n v="64.75"/>
  </r>
  <r>
    <n v="0.04"/>
    <n v="29.14"/>
    <n v="4.8600000000000003"/>
    <n v="62"/>
    <x v="0"/>
    <x v="1"/>
    <x v="0"/>
    <x v="1"/>
    <s v="Wrap Bag"/>
    <s v="Snap-A-Way® Black Print Carbonless Speed Message, No Reply Area, Duplicate"/>
    <n v="0.38"/>
    <x v="124"/>
    <n v="349.40910000000002"/>
    <n v="506.39"/>
  </r>
  <r>
    <n v="0.02"/>
    <n v="5.58"/>
    <n v="5.3"/>
    <n v="268"/>
    <x v="0"/>
    <x v="2"/>
    <x v="0"/>
    <x v="0"/>
    <s v="Small Box"/>
    <s v="Staples Brown Kraft Recycled Clasp Envelopes"/>
    <n v="0.35"/>
    <x v="58"/>
    <n v="-22.48"/>
    <n v="18.670000000000002"/>
  </r>
  <r>
    <n v="0.02"/>
    <n v="5.58"/>
    <n v="5.3"/>
    <n v="272"/>
    <x v="0"/>
    <x v="2"/>
    <x v="0"/>
    <x v="0"/>
    <s v="Small Box"/>
    <s v="Staples Brown Kraft Recycled Clasp Envelopes"/>
    <n v="0.35"/>
    <x v="59"/>
    <n v="-29.898399999999999"/>
    <n v="68.459999999999994"/>
  </r>
  <r>
    <n v="0.04"/>
    <n v="2.98"/>
    <n v="1.58"/>
    <n v="16"/>
    <x v="0"/>
    <x v="0"/>
    <x v="0"/>
    <x v="8"/>
    <s v="Wrap Bag"/>
    <s v="Staples Gold Paper Clips"/>
    <n v="0.39"/>
    <x v="125"/>
    <n v="2.63"/>
    <n v="18.8"/>
  </r>
  <r>
    <n v="0.04"/>
    <n v="10.14"/>
    <n v="2.27"/>
    <n v="169"/>
    <x v="0"/>
    <x v="1"/>
    <x v="0"/>
    <x v="1"/>
    <s v="Wrap Bag"/>
    <s v="Staples Wirebound Steno Books, 6&quot; x 9&quot;, 12/Pack"/>
    <n v="0.36"/>
    <x v="67"/>
    <n v="24.923999999999999"/>
    <n v="30.94"/>
  </r>
  <r>
    <n v="0.05"/>
    <n v="1.88"/>
    <n v="1.49"/>
    <n v="171"/>
    <x v="0"/>
    <x v="1"/>
    <x v="0"/>
    <x v="5"/>
    <s v="Small Box"/>
    <s v="Staples® General Use 3-Ring Binders"/>
    <n v="0.37"/>
    <x v="126"/>
    <n v="-2.9095"/>
    <n v="3.42"/>
  </r>
  <r>
    <n v="0.09"/>
    <n v="125.99"/>
    <n v="7.69"/>
    <n v="32"/>
    <x v="1"/>
    <x v="1"/>
    <x v="1"/>
    <x v="2"/>
    <s v="Small Box"/>
    <s v="StarTAC 3000"/>
    <n v="0.59"/>
    <x v="48"/>
    <n v="209.99700000000001"/>
    <n v="783.55"/>
  </r>
  <r>
    <n v="0.05"/>
    <n v="115.99"/>
    <n v="2.5"/>
    <n v="16"/>
    <x v="0"/>
    <x v="0"/>
    <x v="1"/>
    <x v="2"/>
    <s v="Small Box"/>
    <s v="StarTAC 7797"/>
    <n v="0.55000000000000004"/>
    <x v="125"/>
    <n v="652.73310000000004"/>
    <n v="945.99"/>
  </r>
  <r>
    <n v="0.01"/>
    <n v="65.989999999999995"/>
    <n v="8.99"/>
    <n v="152"/>
    <x v="0"/>
    <x v="3"/>
    <x v="1"/>
    <x v="2"/>
    <s v="Small Box"/>
    <s v="StarTAC Analog"/>
    <n v="0.6"/>
    <x v="57"/>
    <n v="97.86"/>
    <n v="292.23"/>
  </r>
  <r>
    <n v="0.02"/>
    <n v="65.989999999999995"/>
    <n v="3.9"/>
    <n v="250"/>
    <x v="0"/>
    <x v="1"/>
    <x v="1"/>
    <x v="2"/>
    <s v="Small Box"/>
    <s v="StarTAC Series"/>
    <n v="0.55000000000000004"/>
    <x v="53"/>
    <n v="1061.3789999999999"/>
    <n v="1543.55"/>
  </r>
  <r>
    <n v="0"/>
    <n v="125.99"/>
    <n v="8.08"/>
    <n v="191"/>
    <x v="0"/>
    <x v="1"/>
    <x v="1"/>
    <x v="2"/>
    <s v="Small Box"/>
    <s v="StarTAC ST7762"/>
    <n v="0.56999999999999995"/>
    <x v="27"/>
    <n v="1348.59672"/>
    <n v="2356.0100000000002"/>
  </r>
  <r>
    <n v="0.05"/>
    <n v="125.99"/>
    <n v="8.08"/>
    <n v="437"/>
    <x v="0"/>
    <x v="0"/>
    <x v="1"/>
    <x v="2"/>
    <s v="Small Box"/>
    <s v="StarTAC ST7762"/>
    <n v="0.56999999999999995"/>
    <x v="127"/>
    <n v="427.11840000000001"/>
    <n v="952.26"/>
  </r>
  <r>
    <n v="0.01"/>
    <n v="5.94"/>
    <n v="9.92"/>
    <n v="241"/>
    <x v="0"/>
    <x v="0"/>
    <x v="0"/>
    <x v="5"/>
    <s v="Small Box"/>
    <s v="Storex Dura Pro™ Binders"/>
    <n v="0.38"/>
    <x v="5"/>
    <n v="-256.51900000000001"/>
    <n v="79.930000000000007"/>
  </r>
  <r>
    <n v="0.03"/>
    <n v="4.24"/>
    <n v="5.41"/>
    <n v="33"/>
    <x v="0"/>
    <x v="1"/>
    <x v="0"/>
    <x v="5"/>
    <s v="Small Box"/>
    <s v="Storex DuraTech Recycled Plastic Frosted Binders"/>
    <n v="0.35"/>
    <x v="108"/>
    <n v="-84.437600000000003"/>
    <n v="58.68"/>
  </r>
  <r>
    <n v="0.05"/>
    <n v="1.86"/>
    <n v="2.58"/>
    <n v="210"/>
    <x v="0"/>
    <x v="2"/>
    <x v="0"/>
    <x v="8"/>
    <s v="Wrap Bag"/>
    <s v="Super Bands, 12/Pack"/>
    <n v="0.82"/>
    <x v="7"/>
    <n v="-66.62"/>
    <n v="17.61"/>
  </r>
  <r>
    <n v="0.01"/>
    <n v="110.99"/>
    <n v="2.5"/>
    <n v="388"/>
    <x v="0"/>
    <x v="1"/>
    <x v="1"/>
    <x v="2"/>
    <s v="Small Box"/>
    <s v="T18"/>
    <n v="0.56999999999999995"/>
    <x v="128"/>
    <n v="-263.56572"/>
    <n v="188.66"/>
  </r>
  <r>
    <n v="0.01"/>
    <n v="95.99"/>
    <n v="4.9000000000000004"/>
    <n v="156"/>
    <x v="0"/>
    <x v="1"/>
    <x v="1"/>
    <x v="2"/>
    <s v="Small Box"/>
    <s v="T60"/>
    <n v="0.56000000000000005"/>
    <x v="43"/>
    <n v="713.88"/>
    <n v="1050.08"/>
  </r>
  <r>
    <n v="0.01"/>
    <n v="19.989999999999998"/>
    <n v="11.17"/>
    <n v="392"/>
    <x v="0"/>
    <x v="1"/>
    <x v="2"/>
    <x v="6"/>
    <s v="Large Box"/>
    <s v="Telescoping Adjustable Floor Lamp"/>
    <n v="0.6"/>
    <x v="66"/>
    <n v="27.91"/>
    <n v="43.65"/>
  </r>
  <r>
    <n v="0"/>
    <n v="170.98"/>
    <n v="13.99"/>
    <n v="269"/>
    <x v="0"/>
    <x v="2"/>
    <x v="2"/>
    <x v="6"/>
    <s v="Medium Box"/>
    <s v="Tenex Antistatic Computer Chair Mats"/>
    <n v="0.75"/>
    <x v="129"/>
    <n v="888.14729999999997"/>
    <n v="1287.17"/>
  </r>
  <r>
    <n v="0.01"/>
    <n v="45.98"/>
    <n v="4.8"/>
    <n v="146"/>
    <x v="0"/>
    <x v="0"/>
    <x v="2"/>
    <x v="6"/>
    <s v="Wrap Bag"/>
    <s v="Tenex B1-RE Series Chair Mats for Low Pile Carpets"/>
    <n v="0.68"/>
    <x v="75"/>
    <n v="133.5771"/>
    <n v="193.59"/>
  </r>
  <r>
    <n v="7.0000000000000007E-2"/>
    <n v="16.91"/>
    <n v="6.25"/>
    <n v="460"/>
    <x v="0"/>
    <x v="2"/>
    <x v="0"/>
    <x v="14"/>
    <s v="Small Box"/>
    <s v="Tenex Personal Self-Stacking Standard File Box, Black/Gray"/>
    <n v="0.57999999999999996"/>
    <x v="130"/>
    <n v="7.9"/>
    <n v="492.9"/>
  </r>
  <r>
    <n v="0.01"/>
    <n v="20.34"/>
    <n v="35"/>
    <n v="266"/>
    <x v="0"/>
    <x v="1"/>
    <x v="0"/>
    <x v="14"/>
    <s v="Large Box"/>
    <s v="Tennsco Commercial Shelving"/>
    <n v="0.84"/>
    <x v="92"/>
    <n v="229.63800000000001"/>
    <n v="747.28"/>
  </r>
  <r>
    <n v="0.02"/>
    <n v="12.99"/>
    <n v="14.37"/>
    <n v="467"/>
    <x v="0"/>
    <x v="0"/>
    <x v="2"/>
    <x v="6"/>
    <s v="Large Box"/>
    <s v="Tensor &quot;Hersey Kiss&quot; Styled Floor Lamp"/>
    <n v="0.73"/>
    <x v="131"/>
    <n v="-556.80960000000005"/>
    <n v="143.63"/>
  </r>
  <r>
    <n v="0.06"/>
    <n v="205.99"/>
    <n v="8.99"/>
    <n v="32"/>
    <x v="0"/>
    <x v="1"/>
    <x v="1"/>
    <x v="2"/>
    <s v="Small Box"/>
    <s v="TimeportP7382"/>
    <n v="0.56000000000000005"/>
    <x v="48"/>
    <n v="3568.096"/>
    <n v="3838.14"/>
  </r>
  <r>
    <n v="0.01"/>
    <n v="35.94"/>
    <n v="6.66"/>
    <n v="15"/>
    <x v="0"/>
    <x v="0"/>
    <x v="0"/>
    <x v="0"/>
    <s v="Small Box"/>
    <s v="Tyvek ® Top-Opening Peel &amp; Seel ® Envelopes, Gray"/>
    <n v="0.4"/>
    <x v="79"/>
    <n v="261.87569999999999"/>
    <n v="379.53"/>
  </r>
  <r>
    <n v="0.09"/>
    <n v="35.94"/>
    <n v="6.66"/>
    <n v="269"/>
    <x v="0"/>
    <x v="2"/>
    <x v="0"/>
    <x v="0"/>
    <s v="Small Box"/>
    <s v="Tyvek ® Top-Opening Peel &amp; Seel ® Envelopes, Gray"/>
    <n v="0.4"/>
    <x v="129"/>
    <n v="144.2928"/>
    <n v="209.12"/>
  </r>
  <r>
    <n v="0.09"/>
    <n v="35.94"/>
    <n v="6.66"/>
    <n v="272"/>
    <x v="0"/>
    <x v="2"/>
    <x v="0"/>
    <x v="0"/>
    <s v="Small Box"/>
    <s v="Tyvek ® Top-Opening Peel &amp; Seel ® Envelopes, Gray"/>
    <n v="0.4"/>
    <x v="59"/>
    <n v="72.1858"/>
    <n v="836.47"/>
  </r>
  <r>
    <n v="0.04"/>
    <n v="37.700000000000003"/>
    <n v="2.99"/>
    <n v="451"/>
    <x v="0"/>
    <x v="2"/>
    <x v="0"/>
    <x v="5"/>
    <s v="Small Box"/>
    <s v="Vinyl Sectional Post Binders"/>
    <n v="0.35"/>
    <x v="3"/>
    <n v="299.6739"/>
    <n v="434.31"/>
  </r>
  <r>
    <n v="0.09"/>
    <n v="5.98"/>
    <n v="2.5"/>
    <n v="151"/>
    <x v="0"/>
    <x v="2"/>
    <x v="0"/>
    <x v="0"/>
    <s v="Small Box"/>
    <s v="Wausau Papers Astrobrights® Colored Envelopes"/>
    <n v="0.36"/>
    <x v="116"/>
    <n v="13.896000000000001"/>
    <n v="28.11"/>
  </r>
  <r>
    <n v="7.0000000000000007E-2"/>
    <n v="6.54"/>
    <n v="5.27"/>
    <n v="193"/>
    <x v="0"/>
    <x v="1"/>
    <x v="0"/>
    <x v="5"/>
    <s v="Small Box"/>
    <s v="Wilson Jones® Four-Pocket Poly Binders"/>
    <n v="0.36"/>
    <x v="35"/>
    <n v="-66.044499999999999"/>
    <n v="140.30000000000001"/>
  </r>
  <r>
    <n v="0.06"/>
    <n v="7.04"/>
    <n v="2.17"/>
    <n v="145"/>
    <x v="0"/>
    <x v="0"/>
    <x v="0"/>
    <x v="1"/>
    <s v="Wrap Bag"/>
    <s v="Wirebound Message Books, 2 7/8&quot; x 5&quot;, 3 Forms per Page"/>
    <n v="0.38"/>
    <x v="94"/>
    <n v="2.4851999999999999"/>
    <n v="14.65"/>
  </r>
  <r>
    <n v="0.03"/>
    <n v="11.34"/>
    <n v="5.01"/>
    <n v="470"/>
    <x v="0"/>
    <x v="0"/>
    <x v="0"/>
    <x v="1"/>
    <s v="Small Box"/>
    <s v="Xerox 188"/>
    <n v="0.36"/>
    <x v="132"/>
    <n v="23.2028"/>
    <n v="60.24"/>
  </r>
  <r>
    <n v="0.09"/>
    <n v="4.9800000000000004"/>
    <n v="6.07"/>
    <n v="92"/>
    <x v="0"/>
    <x v="2"/>
    <x v="0"/>
    <x v="1"/>
    <s v="Small Box"/>
    <s v="Xerox 1897"/>
    <n v="0.36"/>
    <x v="20"/>
    <n v="325.39800000000002"/>
    <n v="45.34"/>
  </r>
  <r>
    <n v="7.0000000000000007E-2"/>
    <n v="6.68"/>
    <n v="6.92"/>
    <n v="353"/>
    <x v="0"/>
    <x v="2"/>
    <x v="0"/>
    <x v="1"/>
    <s v="Small Box"/>
    <s v="Xerox 1898"/>
    <n v="0.37"/>
    <x v="99"/>
    <n v="-141.12"/>
    <n v="104.84"/>
  </r>
  <r>
    <n v="0.02"/>
    <n v="5.98"/>
    <n v="5.79"/>
    <n v="53"/>
    <x v="0"/>
    <x v="1"/>
    <x v="0"/>
    <x v="1"/>
    <s v="Small Box"/>
    <s v="Xerox 1903"/>
    <n v="0.36"/>
    <x v="29"/>
    <n v="-67.489999999999995"/>
    <n v="110.19"/>
  </r>
  <r>
    <n v="0.09"/>
    <n v="4.9800000000000004"/>
    <n v="7.44"/>
    <n v="269"/>
    <x v="0"/>
    <x v="2"/>
    <x v="0"/>
    <x v="1"/>
    <s v="Small Box"/>
    <s v="Xerox 1922"/>
    <n v="0.36"/>
    <x v="129"/>
    <n v="-46.005000000000003"/>
    <n v="46.17"/>
  </r>
  <r>
    <n v="0.09"/>
    <n v="4.9800000000000004"/>
    <n v="7.44"/>
    <n v="272"/>
    <x v="0"/>
    <x v="2"/>
    <x v="0"/>
    <x v="1"/>
    <s v="Small Box"/>
    <s v="Xerox 1922"/>
    <n v="0.36"/>
    <x v="59"/>
    <n v="-122.3733"/>
    <n v="189.83"/>
  </r>
  <r>
    <n v="0.06"/>
    <n v="22.84"/>
    <n v="5.47"/>
    <n v="395"/>
    <x v="0"/>
    <x v="1"/>
    <x v="0"/>
    <x v="1"/>
    <s v="Small Box"/>
    <s v="Xerox 1929"/>
    <n v="0.39"/>
    <x v="96"/>
    <n v="7.44"/>
    <n v="461.94"/>
  </r>
  <r>
    <n v="0.02"/>
    <n v="5.98"/>
    <n v="5.15"/>
    <n v="62"/>
    <x v="0"/>
    <x v="1"/>
    <x v="0"/>
    <x v="1"/>
    <s v="Small Box"/>
    <s v="Xerox 193"/>
    <n v="0.36"/>
    <x v="124"/>
    <n v="2.14"/>
    <n v="22.85"/>
  </r>
  <r>
    <n v="0.04"/>
    <n v="5.98"/>
    <n v="5.15"/>
    <n v="317"/>
    <x v="0"/>
    <x v="1"/>
    <x v="0"/>
    <x v="1"/>
    <s v="Small Box"/>
    <s v="Xerox 193"/>
    <n v="0.36"/>
    <x v="51"/>
    <n v="-52.344000000000001"/>
    <n v="103.49"/>
  </r>
  <r>
    <n v="0.09"/>
    <n v="12.28"/>
    <n v="4.8600000000000003"/>
    <n v="202"/>
    <x v="0"/>
    <x v="1"/>
    <x v="0"/>
    <x v="1"/>
    <s v="Small Box"/>
    <s v="Xerox 1933"/>
    <n v="0.38"/>
    <x v="90"/>
    <n v="1.73"/>
    <n v="34.65"/>
  </r>
  <r>
    <n v="0.04"/>
    <n v="18.97"/>
    <n v="9.5399999999999991"/>
    <n v="136"/>
    <x v="0"/>
    <x v="0"/>
    <x v="0"/>
    <x v="1"/>
    <s v="Small Box"/>
    <s v="Xerox 1939"/>
    <n v="0.37"/>
    <x v="70"/>
    <n v="3.04"/>
    <n v="101.74"/>
  </r>
  <r>
    <n v="0.06"/>
    <n v="55.48"/>
    <n v="14.3"/>
    <n v="24"/>
    <x v="0"/>
    <x v="1"/>
    <x v="0"/>
    <x v="1"/>
    <s v="Small Box"/>
    <s v="Xerox 194"/>
    <n v="0.37"/>
    <x v="104"/>
    <n v="-28.296800000000001"/>
    <n v="67.489999999999995"/>
  </r>
  <r>
    <n v="0.02"/>
    <n v="4.9800000000000004"/>
    <n v="5.49"/>
    <n v="164"/>
    <x v="0"/>
    <x v="2"/>
    <x v="0"/>
    <x v="1"/>
    <s v="Small Box"/>
    <s v="Xerox 1952"/>
    <n v="0.38"/>
    <x v="47"/>
    <n v="-77.03"/>
    <n v="45.63"/>
  </r>
  <r>
    <n v="0.03"/>
    <n v="22.84"/>
    <n v="11.54"/>
    <n v="142"/>
    <x v="0"/>
    <x v="0"/>
    <x v="0"/>
    <x v="1"/>
    <s v="Small Box"/>
    <s v="Xerox 1964"/>
    <n v="0.39"/>
    <x v="133"/>
    <n v="91.956000000000003"/>
    <n v="312.58999999999997"/>
  </r>
  <r>
    <n v="0.02"/>
    <n v="4.28"/>
    <n v="5.17"/>
    <n v="373"/>
    <x v="0"/>
    <x v="0"/>
    <x v="0"/>
    <x v="1"/>
    <s v="Small Box"/>
    <s v="Xerox 1971"/>
    <n v="0.4"/>
    <x v="16"/>
    <n v="-63.87"/>
    <n v="109.86"/>
  </r>
  <r>
    <n v="0.02"/>
    <n v="4.28"/>
    <n v="5.17"/>
    <n v="375"/>
    <x v="0"/>
    <x v="0"/>
    <x v="0"/>
    <x v="1"/>
    <s v="Small Box"/>
    <s v="Xerox 1971"/>
    <n v="0.4"/>
    <x v="114"/>
    <n v="196.8"/>
    <n v="27.47"/>
  </r>
  <r>
    <n v="0.02"/>
    <n v="6.48"/>
    <n v="9.17"/>
    <n v="194"/>
    <x v="0"/>
    <x v="1"/>
    <x v="0"/>
    <x v="1"/>
    <s v="Small Box"/>
    <s v="Xerox 1996"/>
    <n v="0.37"/>
    <x v="18"/>
    <n v="-105.68519999999999"/>
    <n v="28.2"/>
  </r>
  <r>
    <n v="0.08"/>
    <n v="6.48"/>
    <n v="7.03"/>
    <n v="266"/>
    <x v="0"/>
    <x v="1"/>
    <x v="0"/>
    <x v="1"/>
    <s v="Small Box"/>
    <s v="Xerox 214"/>
    <n v="0.37"/>
    <x v="92"/>
    <n v="8.9320000000000004"/>
    <n v="67.86"/>
  </r>
  <r>
    <n v="0.03"/>
    <n v="5.28"/>
    <n v="5.66"/>
    <n v="388"/>
    <x v="0"/>
    <x v="1"/>
    <x v="0"/>
    <x v="1"/>
    <s v="Small Box"/>
    <s v="Xerox 4200 Series MultiUse Premium Copy Paper (20Lb. and 84 Bright)"/>
    <n v="0.4"/>
    <x v="128"/>
    <n v="-51.559199999999997"/>
    <n v="22.82"/>
  </r>
  <r>
    <n v="0.1"/>
    <n v="19.98"/>
    <n v="5.77"/>
    <n v="240"/>
    <x v="1"/>
    <x v="0"/>
    <x v="0"/>
    <x v="1"/>
    <s v="Small Box"/>
    <s v="Xerox Blank Computer Paper"/>
    <n v="0.38"/>
    <x v="134"/>
    <n v="35.090000000000003"/>
    <n v="57.41"/>
  </r>
  <r>
    <n v="0.02"/>
    <n v="49.99"/>
    <n v="19.989999999999998"/>
    <n v="181"/>
    <x v="0"/>
    <x v="0"/>
    <x v="1"/>
    <x v="7"/>
    <s v="Small Box"/>
    <s v="Zoom V.92 USB External Faxmodem"/>
    <n v="0.41"/>
    <x v="105"/>
    <n v="-76.89"/>
    <n v="901.81"/>
  </r>
  <r>
    <n v="0.02"/>
    <n v="49.99"/>
    <n v="19.989999999999998"/>
    <n v="184"/>
    <x v="0"/>
    <x v="0"/>
    <x v="1"/>
    <x v="7"/>
    <s v="Small Box"/>
    <s v="Zoom V.92 USB External Faxmodem"/>
    <n v="0.41"/>
    <x v="135"/>
    <n v="-76.89"/>
    <n v="250.5"/>
  </r>
  <r>
    <n v="0"/>
    <n v="115.99"/>
    <n v="2.5"/>
    <n v="52"/>
    <x v="0"/>
    <x v="1"/>
    <x v="1"/>
    <x v="2"/>
    <s v="Small Box"/>
    <m/>
    <n v="0.56999999999999995"/>
    <x v="136"/>
    <n v="162.666"/>
    <n v="627.04"/>
  </r>
  <r>
    <n v="0.02"/>
    <n v="175.99"/>
    <n v="4.99"/>
    <n v="64"/>
    <x v="1"/>
    <x v="0"/>
    <x v="1"/>
    <x v="2"/>
    <s v="Small Box"/>
    <m/>
    <n v="0.59"/>
    <x v="34"/>
    <n v="101.49"/>
    <n v="589.79999999999995"/>
  </r>
  <r>
    <n v="0.06"/>
    <n v="175.99"/>
    <n v="8.99"/>
    <n v="91"/>
    <x v="0"/>
    <x v="1"/>
    <x v="1"/>
    <x v="2"/>
    <s v="Small Box"/>
    <m/>
    <n v="0.56999999999999995"/>
    <x v="28"/>
    <n v="2031.5070000000001"/>
    <n v="3363.53"/>
  </r>
  <r>
    <n v="0.06"/>
    <n v="115.99"/>
    <n v="8.99"/>
    <n v="97"/>
    <x v="0"/>
    <x v="2"/>
    <x v="1"/>
    <x v="2"/>
    <s v="Small Box"/>
    <m/>
    <n v="0.57999999999999996"/>
    <x v="110"/>
    <n v="685.6146"/>
    <n v="1952.56"/>
  </r>
  <r>
    <n v="0.09"/>
    <n v="205.99"/>
    <n v="3"/>
    <n v="120"/>
    <x v="1"/>
    <x v="1"/>
    <x v="1"/>
    <x v="2"/>
    <s v="Small Box"/>
    <m/>
    <n v="0.57999999999999996"/>
    <x v="35"/>
    <n v="1179.0237"/>
    <n v="1708.73"/>
  </r>
  <r>
    <n v="0"/>
    <n v="65.989999999999995"/>
    <n v="5.92"/>
    <n v="211"/>
    <x v="0"/>
    <x v="3"/>
    <x v="1"/>
    <x v="2"/>
    <s v="Small Box"/>
    <m/>
    <n v="0.55000000000000004"/>
    <x v="93"/>
    <n v="-107.98699999999999"/>
    <n v="173.32"/>
  </r>
  <r>
    <n v="0.06"/>
    <n v="65.989999999999995"/>
    <n v="5.92"/>
    <n v="247"/>
    <x v="0"/>
    <x v="1"/>
    <x v="1"/>
    <x v="2"/>
    <s v="Small Box"/>
    <m/>
    <n v="0.55000000000000004"/>
    <x v="36"/>
    <n v="-3.3319999999999999"/>
    <n v="792.11"/>
  </r>
  <r>
    <n v="7.0000000000000007E-2"/>
    <n v="65.989999999999995"/>
    <n v="5.26"/>
    <n v="383"/>
    <x v="1"/>
    <x v="1"/>
    <x v="1"/>
    <x v="2"/>
    <s v="Small Box"/>
    <m/>
    <n v="0.56000000000000005"/>
    <x v="118"/>
    <n v="107.08199999999999"/>
    <n v="279.8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A8676-8CDE-40AF-A702-87C192ACB22C}" name="Tabela dinâ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C11:D13" firstHeaderRow="1" firstDataRow="1" firstDataCol="1"/>
  <pivotFields count="14">
    <pivotField showAll="0"/>
    <pivotField showAll="0"/>
    <pivotField showAll="0"/>
    <pivotField showAll="0"/>
    <pivotField axis="axisRow" showAll="0">
      <items count="4"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138">
        <item h="1" x="96"/>
        <item h="1" x="0"/>
        <item h="1" x="121"/>
        <item h="1" x="133"/>
        <item h="1" x="135"/>
        <item h="1" x="37"/>
        <item h="1" x="102"/>
        <item h="1" x="69"/>
        <item h="1" x="27"/>
        <item h="1" x="26"/>
        <item h="1" x="90"/>
        <item h="1" x="6"/>
        <item h="1" x="67"/>
        <item h="1" x="41"/>
        <item h="1" x="14"/>
        <item h="1" x="115"/>
        <item x="131"/>
        <item h="1" x="40"/>
        <item h="1" x="52"/>
        <item h="1" x="30"/>
        <item h="1" x="76"/>
        <item h="1" x="84"/>
        <item h="1" x="13"/>
        <item h="1" x="59"/>
        <item h="1" x="42"/>
        <item h="1" x="9"/>
        <item h="1" x="66"/>
        <item h="1" x="86"/>
        <item h="1" x="87"/>
        <item h="1" x="122"/>
        <item h="1" x="95"/>
        <item h="1" x="89"/>
        <item h="1" x="16"/>
        <item h="1" x="31"/>
        <item h="1" x="118"/>
        <item h="1" x="117"/>
        <item h="1" x="8"/>
        <item h="1" x="119"/>
        <item h="1" x="58"/>
        <item h="1" x="82"/>
        <item h="1" x="43"/>
        <item h="1" x="126"/>
        <item h="1" x="134"/>
        <item h="1" x="106"/>
        <item h="1" x="129"/>
        <item h="1" x="99"/>
        <item h="1" x="17"/>
        <item h="1" x="73"/>
        <item h="1" x="5"/>
        <item h="1" x="48"/>
        <item h="1" x="108"/>
        <item h="1" x="21"/>
        <item h="1" x="83"/>
        <item h="1" x="62"/>
        <item h="1" x="49"/>
        <item h="1" x="74"/>
        <item h="1" x="128"/>
        <item h="1" x="97"/>
        <item h="1" x="44"/>
        <item h="1" x="116"/>
        <item h="1" x="57"/>
        <item h="1" x="104"/>
        <item h="1" x="33"/>
        <item h="1" x="61"/>
        <item h="1" x="35"/>
        <item h="1" x="112"/>
        <item h="1" x="18"/>
        <item h="1" x="51"/>
        <item h="1" x="2"/>
        <item h="1" x="111"/>
        <item h="1" x="38"/>
        <item h="1" x="3"/>
        <item h="1" x="15"/>
        <item h="1" x="123"/>
        <item h="1" x="113"/>
        <item h="1" x="91"/>
        <item h="1" x="127"/>
        <item h="1" x="110"/>
        <item h="1" x="36"/>
        <item h="1" x="72"/>
        <item h="1" x="64"/>
        <item h="1" x="22"/>
        <item h="1" x="130"/>
        <item h="1" x="77"/>
        <item h="1" x="80"/>
        <item h="1" x="114"/>
        <item h="1" x="81"/>
        <item h="1" x="54"/>
        <item h="1" x="25"/>
        <item h="1" x="107"/>
        <item h="1" x="46"/>
        <item h="1" x="63"/>
        <item h="1" x="1"/>
        <item h="1" x="65"/>
        <item h="1" x="60"/>
        <item h="1" x="68"/>
        <item h="1" x="70"/>
        <item h="1" x="10"/>
        <item h="1" x="39"/>
        <item h="1" x="12"/>
        <item h="1" x="88"/>
        <item h="1" x="136"/>
        <item h="1" x="103"/>
        <item h="1" x="29"/>
        <item h="1" x="53"/>
        <item h="1" x="47"/>
        <item h="1" x="50"/>
        <item h="1" x="4"/>
        <item h="1" x="124"/>
        <item h="1" x="34"/>
        <item h="1" x="92"/>
        <item h="1" x="105"/>
        <item h="1" x="78"/>
        <item h="1" x="45"/>
        <item h="1" x="85"/>
        <item h="1" x="109"/>
        <item h="1" x="11"/>
        <item h="1" x="100"/>
        <item h="1" x="19"/>
        <item h="1" x="79"/>
        <item h="1" x="120"/>
        <item h="1" x="125"/>
        <item h="1" x="20"/>
        <item h="1" x="55"/>
        <item h="1" x="132"/>
        <item h="1" x="7"/>
        <item h="1" x="24"/>
        <item h="1" x="98"/>
        <item h="1" x="93"/>
        <item h="1" x="32"/>
        <item h="1" x="28"/>
        <item h="1" x="75"/>
        <item h="1" x="23"/>
        <item h="1" x="56"/>
        <item h="1" x="94"/>
        <item h="1" x="101"/>
        <item h="1" x="71"/>
        <item t="default"/>
      </items>
    </pivotField>
    <pivotField dataField="1" showAll="0"/>
    <pivotField showAll="0"/>
  </pivotFields>
  <rowFields count="1">
    <field x="4"/>
  </rowFields>
  <rowItems count="2">
    <i>
      <x v="2"/>
    </i>
    <i t="grand">
      <x/>
    </i>
  </rowItems>
  <colItems count="1">
    <i/>
  </colItems>
  <dataFields count="1">
    <dataField name="Soma de Profit" fld="12" baseField="0" baseItem="0"/>
  </dataField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170A53-DADF-4594-AC7C-27F80ED1607C}" name="Tabela dinâmica8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8">
  <location ref="F24:G25" firstHeaderRow="0" firstDataRow="1" firstDataCol="0"/>
  <pivotFields count="14"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showAll="0"/>
    <pivotField showAll="0">
      <items count="138">
        <item h="1" x="96"/>
        <item h="1" x="0"/>
        <item h="1" x="121"/>
        <item h="1" x="133"/>
        <item h="1" x="135"/>
        <item h="1" x="37"/>
        <item h="1" x="102"/>
        <item h="1" x="69"/>
        <item h="1" x="27"/>
        <item h="1" x="26"/>
        <item h="1" x="90"/>
        <item h="1" x="6"/>
        <item h="1" x="67"/>
        <item h="1" x="41"/>
        <item h="1" x="14"/>
        <item h="1" x="115"/>
        <item x="131"/>
        <item h="1" x="40"/>
        <item h="1" x="52"/>
        <item h="1" x="30"/>
        <item h="1" x="76"/>
        <item h="1" x="84"/>
        <item h="1" x="13"/>
        <item h="1" x="59"/>
        <item h="1" x="42"/>
        <item h="1" x="9"/>
        <item h="1" x="66"/>
        <item h="1" x="86"/>
        <item h="1" x="87"/>
        <item h="1" x="122"/>
        <item h="1" x="95"/>
        <item h="1" x="89"/>
        <item h="1" x="16"/>
        <item h="1" x="31"/>
        <item h="1" x="118"/>
        <item h="1" x="117"/>
        <item h="1" x="8"/>
        <item h="1" x="119"/>
        <item h="1" x="58"/>
        <item h="1" x="82"/>
        <item h="1" x="43"/>
        <item h="1" x="126"/>
        <item h="1" x="134"/>
        <item h="1" x="106"/>
        <item h="1" x="129"/>
        <item h="1" x="99"/>
        <item h="1" x="17"/>
        <item h="1" x="73"/>
        <item h="1" x="5"/>
        <item h="1" x="48"/>
        <item h="1" x="108"/>
        <item h="1" x="21"/>
        <item h="1" x="83"/>
        <item h="1" x="62"/>
        <item h="1" x="49"/>
        <item h="1" x="74"/>
        <item h="1" x="128"/>
        <item h="1" x="97"/>
        <item h="1" x="44"/>
        <item h="1" x="116"/>
        <item h="1" x="57"/>
        <item h="1" x="104"/>
        <item h="1" x="33"/>
        <item h="1" x="61"/>
        <item h="1" x="35"/>
        <item h="1" x="112"/>
        <item h="1" x="18"/>
        <item h="1" x="51"/>
        <item h="1" x="2"/>
        <item h="1" x="111"/>
        <item h="1" x="38"/>
        <item h="1" x="3"/>
        <item h="1" x="15"/>
        <item h="1" x="123"/>
        <item h="1" x="113"/>
        <item h="1" x="91"/>
        <item h="1" x="127"/>
        <item h="1" x="110"/>
        <item h="1" x="36"/>
        <item h="1" x="72"/>
        <item h="1" x="64"/>
        <item h="1" x="22"/>
        <item h="1" x="130"/>
        <item h="1" x="77"/>
        <item h="1" x="80"/>
        <item h="1" x="114"/>
        <item h="1" x="81"/>
        <item h="1" x="54"/>
        <item h="1" x="25"/>
        <item h="1" x="107"/>
        <item h="1" x="46"/>
        <item h="1" x="63"/>
        <item h="1" x="1"/>
        <item h="1" x="65"/>
        <item h="1" x="60"/>
        <item h="1" x="68"/>
        <item h="1" x="70"/>
        <item h="1" x="10"/>
        <item h="1" x="39"/>
        <item h="1" x="12"/>
        <item h="1" x="88"/>
        <item h="1" x="136"/>
        <item h="1" x="103"/>
        <item h="1" x="29"/>
        <item h="1" x="53"/>
        <item h="1" x="47"/>
        <item h="1" x="50"/>
        <item h="1" x="4"/>
        <item h="1" x="124"/>
        <item h="1" x="34"/>
        <item h="1" x="92"/>
        <item h="1" x="105"/>
        <item h="1" x="78"/>
        <item h="1" x="45"/>
        <item h="1" x="85"/>
        <item h="1" x="109"/>
        <item h="1" x="11"/>
        <item h="1" x="100"/>
        <item h="1" x="19"/>
        <item h="1" x="79"/>
        <item h="1" x="120"/>
        <item h="1" x="125"/>
        <item h="1" x="20"/>
        <item h="1" x="55"/>
        <item h="1" x="132"/>
        <item h="1" x="7"/>
        <item h="1" x="24"/>
        <item h="1" x="98"/>
        <item h="1" x="93"/>
        <item h="1" x="32"/>
        <item h="1" x="28"/>
        <item h="1" x="75"/>
        <item h="1" x="23"/>
        <item h="1" x="56"/>
        <item h="1" x="94"/>
        <item h="1" x="101"/>
        <item h="1" x="71"/>
        <item t="default"/>
      </items>
    </pivotField>
    <pivotField showAll="0"/>
    <pivotField showAl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Contagem de Product Name" fld="9" subtotal="count" baseField="0" baseItem="16"/>
    <dataField name="Contagem de Customer ID" fld="3" subtotal="count" baseField="0" baseItem="1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D5BACC3-1C3A-483C-A066-3FD0091D02D1}" name="Tabela dinâmica3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7">
  <location ref="I11:J13" firstHeaderRow="1" firstDataRow="1" firstDataCol="1"/>
  <pivotFields count="14">
    <pivotField showAll="0"/>
    <pivotField showAll="0"/>
    <pivotField showAll="0"/>
    <pivotField showAll="0"/>
    <pivotField showAll="0"/>
    <pivotField showAll="0"/>
    <pivotField axis="axisRow" showAll="0">
      <items count="4">
        <item sd="0" x="2"/>
        <item sd="0" x="0"/>
        <item sd="0" x="1"/>
        <item t="default" sd="0"/>
      </items>
    </pivotField>
    <pivotField axis="axisRow" showAll="0">
      <items count="17">
        <item x="4"/>
        <item x="5"/>
        <item x="11"/>
        <item x="15"/>
        <item x="7"/>
        <item x="0"/>
        <item x="12"/>
        <item x="6"/>
        <item x="3"/>
        <item x="1"/>
        <item x="13"/>
        <item x="8"/>
        <item x="9"/>
        <item x="14"/>
        <item x="10"/>
        <item x="2"/>
        <item t="default"/>
      </items>
    </pivotField>
    <pivotField showAll="0"/>
    <pivotField showAll="0"/>
    <pivotField showAll="0"/>
    <pivotField showAll="0">
      <items count="138">
        <item h="1" x="96"/>
        <item h="1" x="0"/>
        <item h="1" x="121"/>
        <item h="1" x="133"/>
        <item h="1" x="135"/>
        <item h="1" x="37"/>
        <item h="1" x="102"/>
        <item h="1" x="69"/>
        <item h="1" x="27"/>
        <item h="1" x="26"/>
        <item h="1" x="90"/>
        <item h="1" x="6"/>
        <item h="1" x="67"/>
        <item h="1" x="41"/>
        <item h="1" x="14"/>
        <item h="1" x="115"/>
        <item x="131"/>
        <item h="1" x="40"/>
        <item h="1" x="52"/>
        <item h="1" x="30"/>
        <item h="1" x="76"/>
        <item h="1" x="84"/>
        <item h="1" x="13"/>
        <item h="1" x="59"/>
        <item h="1" x="42"/>
        <item h="1" x="9"/>
        <item h="1" x="66"/>
        <item h="1" x="86"/>
        <item h="1" x="87"/>
        <item h="1" x="122"/>
        <item h="1" x="95"/>
        <item h="1" x="89"/>
        <item h="1" x="16"/>
        <item h="1" x="31"/>
        <item h="1" x="118"/>
        <item h="1" x="117"/>
        <item h="1" x="8"/>
        <item h="1" x="119"/>
        <item h="1" x="58"/>
        <item h="1" x="82"/>
        <item h="1" x="43"/>
        <item h="1" x="126"/>
        <item h="1" x="134"/>
        <item h="1" x="106"/>
        <item h="1" x="129"/>
        <item h="1" x="99"/>
        <item h="1" x="17"/>
        <item h="1" x="73"/>
        <item h="1" x="5"/>
        <item h="1" x="48"/>
        <item h="1" x="108"/>
        <item h="1" x="21"/>
        <item h="1" x="83"/>
        <item h="1" x="62"/>
        <item h="1" x="49"/>
        <item h="1" x="74"/>
        <item h="1" x="128"/>
        <item h="1" x="97"/>
        <item h="1" x="44"/>
        <item h="1" x="116"/>
        <item h="1" x="57"/>
        <item h="1" x="104"/>
        <item h="1" x="33"/>
        <item h="1" x="61"/>
        <item h="1" x="35"/>
        <item h="1" x="112"/>
        <item h="1" x="18"/>
        <item h="1" x="51"/>
        <item h="1" x="2"/>
        <item h="1" x="111"/>
        <item h="1" x="38"/>
        <item h="1" x="3"/>
        <item h="1" x="15"/>
        <item h="1" x="123"/>
        <item h="1" x="113"/>
        <item h="1" x="91"/>
        <item h="1" x="127"/>
        <item h="1" x="110"/>
        <item h="1" x="36"/>
        <item h="1" x="72"/>
        <item h="1" x="64"/>
        <item h="1" x="22"/>
        <item h="1" x="130"/>
        <item h="1" x="77"/>
        <item h="1" x="80"/>
        <item h="1" x="114"/>
        <item h="1" x="81"/>
        <item h="1" x="54"/>
        <item h="1" x="25"/>
        <item h="1" x="107"/>
        <item h="1" x="46"/>
        <item h="1" x="63"/>
        <item h="1" x="1"/>
        <item h="1" x="65"/>
        <item h="1" x="60"/>
        <item h="1" x="68"/>
        <item h="1" x="70"/>
        <item h="1" x="10"/>
        <item h="1" x="39"/>
        <item h="1" x="12"/>
        <item h="1" x="88"/>
        <item h="1" x="136"/>
        <item h="1" x="103"/>
        <item h="1" x="29"/>
        <item h="1" x="53"/>
        <item h="1" x="47"/>
        <item h="1" x="50"/>
        <item h="1" x="4"/>
        <item h="1" x="124"/>
        <item h="1" x="34"/>
        <item h="1" x="92"/>
        <item h="1" x="105"/>
        <item h="1" x="78"/>
        <item h="1" x="45"/>
        <item h="1" x="85"/>
        <item h="1" x="109"/>
        <item h="1" x="11"/>
        <item h="1" x="100"/>
        <item h="1" x="19"/>
        <item h="1" x="79"/>
        <item h="1" x="120"/>
        <item h="1" x="125"/>
        <item h="1" x="20"/>
        <item h="1" x="55"/>
        <item h="1" x="132"/>
        <item h="1" x="7"/>
        <item h="1" x="24"/>
        <item h="1" x="98"/>
        <item h="1" x="93"/>
        <item h="1" x="32"/>
        <item h="1" x="28"/>
        <item h="1" x="75"/>
        <item h="1" x="23"/>
        <item h="1" x="56"/>
        <item h="1" x="94"/>
        <item h="1" x="101"/>
        <item h="1" x="71"/>
        <item t="default"/>
      </items>
    </pivotField>
    <pivotField dataField="1" showAll="0"/>
    <pivotField showAll="0"/>
  </pivotFields>
  <rowFields count="2">
    <field x="6"/>
    <field x="7"/>
  </rowFields>
  <rowItems count="2">
    <i>
      <x/>
    </i>
    <i t="grand">
      <x/>
    </i>
  </rowItems>
  <colItems count="1">
    <i/>
  </colItems>
  <dataFields count="1">
    <dataField name="Soma de Profit" fld="12" baseField="0" baseItem="0"/>
  </dataFields>
  <chartFormats count="1">
    <chartFormat chart="8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3790D1-0660-44E5-8A9C-6C4644EA967D}" name="Tabela dinâ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F11:G13" firstHeaderRow="1" firstDataRow="1" firstDataCol="1"/>
  <pivotFields count="14">
    <pivotField showAll="0"/>
    <pivotField showAll="0"/>
    <pivotField showAll="0"/>
    <pivotField showAll="0"/>
    <pivotField showAll="0"/>
    <pivotField axis="axisRow" showAll="0">
      <items count="5">
        <item x="3"/>
        <item x="1"/>
        <item x="2"/>
        <item x="0"/>
        <item t="default"/>
      </items>
    </pivotField>
    <pivotField showAll="0"/>
    <pivotField showAll="0"/>
    <pivotField showAll="0"/>
    <pivotField showAll="0"/>
    <pivotField showAll="0"/>
    <pivotField showAll="0">
      <items count="138">
        <item h="1" x="96"/>
        <item h="1" x="0"/>
        <item h="1" x="121"/>
        <item h="1" x="133"/>
        <item h="1" x="135"/>
        <item h="1" x="37"/>
        <item h="1" x="102"/>
        <item h="1" x="69"/>
        <item h="1" x="27"/>
        <item h="1" x="26"/>
        <item h="1" x="90"/>
        <item h="1" x="6"/>
        <item h="1" x="67"/>
        <item h="1" x="41"/>
        <item h="1" x="14"/>
        <item h="1" x="115"/>
        <item x="131"/>
        <item h="1" x="40"/>
        <item h="1" x="52"/>
        <item h="1" x="30"/>
        <item h="1" x="76"/>
        <item h="1" x="84"/>
        <item h="1" x="13"/>
        <item h="1" x="59"/>
        <item h="1" x="42"/>
        <item h="1" x="9"/>
        <item h="1" x="66"/>
        <item h="1" x="86"/>
        <item h="1" x="87"/>
        <item h="1" x="122"/>
        <item h="1" x="95"/>
        <item h="1" x="89"/>
        <item h="1" x="16"/>
        <item h="1" x="31"/>
        <item h="1" x="118"/>
        <item h="1" x="117"/>
        <item h="1" x="8"/>
        <item h="1" x="119"/>
        <item h="1" x="58"/>
        <item h="1" x="82"/>
        <item h="1" x="43"/>
        <item h="1" x="126"/>
        <item h="1" x="134"/>
        <item h="1" x="106"/>
        <item h="1" x="129"/>
        <item h="1" x="99"/>
        <item h="1" x="17"/>
        <item h="1" x="73"/>
        <item h="1" x="5"/>
        <item h="1" x="48"/>
        <item h="1" x="108"/>
        <item h="1" x="21"/>
        <item h="1" x="83"/>
        <item h="1" x="62"/>
        <item h="1" x="49"/>
        <item h="1" x="74"/>
        <item h="1" x="128"/>
        <item h="1" x="97"/>
        <item h="1" x="44"/>
        <item h="1" x="116"/>
        <item h="1" x="57"/>
        <item h="1" x="104"/>
        <item h="1" x="33"/>
        <item h="1" x="61"/>
        <item h="1" x="35"/>
        <item h="1" x="112"/>
        <item h="1" x="18"/>
        <item h="1" x="51"/>
        <item h="1" x="2"/>
        <item h="1" x="111"/>
        <item h="1" x="38"/>
        <item h="1" x="3"/>
        <item h="1" x="15"/>
        <item h="1" x="123"/>
        <item h="1" x="113"/>
        <item h="1" x="91"/>
        <item h="1" x="127"/>
        <item h="1" x="110"/>
        <item h="1" x="36"/>
        <item h="1" x="72"/>
        <item h="1" x="64"/>
        <item h="1" x="22"/>
        <item h="1" x="130"/>
        <item h="1" x="77"/>
        <item h="1" x="80"/>
        <item h="1" x="114"/>
        <item h="1" x="81"/>
        <item h="1" x="54"/>
        <item h="1" x="25"/>
        <item h="1" x="107"/>
        <item h="1" x="46"/>
        <item h="1" x="63"/>
        <item h="1" x="1"/>
        <item h="1" x="65"/>
        <item h="1" x="60"/>
        <item h="1" x="68"/>
        <item h="1" x="70"/>
        <item h="1" x="10"/>
        <item h="1" x="39"/>
        <item h="1" x="12"/>
        <item h="1" x="88"/>
        <item h="1" x="136"/>
        <item h="1" x="103"/>
        <item h="1" x="29"/>
        <item h="1" x="53"/>
        <item h="1" x="47"/>
        <item h="1" x="50"/>
        <item h="1" x="4"/>
        <item h="1" x="124"/>
        <item h="1" x="34"/>
        <item h="1" x="92"/>
        <item h="1" x="105"/>
        <item h="1" x="78"/>
        <item h="1" x="45"/>
        <item h="1" x="85"/>
        <item h="1" x="109"/>
        <item h="1" x="11"/>
        <item h="1" x="100"/>
        <item h="1" x="19"/>
        <item h="1" x="79"/>
        <item h="1" x="120"/>
        <item h="1" x="125"/>
        <item h="1" x="20"/>
        <item h="1" x="55"/>
        <item h="1" x="132"/>
        <item h="1" x="7"/>
        <item h="1" x="24"/>
        <item h="1" x="98"/>
        <item h="1" x="93"/>
        <item h="1" x="32"/>
        <item h="1" x="28"/>
        <item h="1" x="75"/>
        <item h="1" x="23"/>
        <item h="1" x="56"/>
        <item h="1" x="94"/>
        <item h="1" x="101"/>
        <item h="1" x="71"/>
        <item t="default"/>
      </items>
    </pivotField>
    <pivotField dataField="1" showAll="0"/>
    <pivotField showAll="0"/>
  </pivotFields>
  <rowFields count="1">
    <field x="5"/>
  </rowFields>
  <rowItems count="2">
    <i>
      <x v="3"/>
    </i>
    <i t="grand">
      <x/>
    </i>
  </rowItems>
  <colItems count="1">
    <i/>
  </colItems>
  <dataFields count="1">
    <dataField name="Soma de Profit" fld="12" baseField="0" baseItem="0"/>
  </dataField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ity1" xr10:uid="{9EA51A2D-CF25-49B6-B573-B08801EDBBD4}" sourceName="City">
  <pivotTables>
    <pivotTable tabId="8" name="Tabela dinâmica2"/>
    <pivotTable tabId="8" name="Tabela dinâmica1"/>
    <pivotTable tabId="8" name="Tabela dinâmica3"/>
    <pivotTable tabId="8" name="Tabela dinâmica8"/>
  </pivotTables>
  <data>
    <tabular pivotCacheId="2109274502" customListSort="0">
      <items count="137">
        <i x="96"/>
        <i x="0"/>
        <i x="121"/>
        <i x="133"/>
        <i x="135"/>
        <i x="37"/>
        <i x="102"/>
        <i x="69"/>
        <i x="27"/>
        <i x="26"/>
        <i x="90"/>
        <i x="6"/>
        <i x="67"/>
        <i x="41"/>
        <i x="14"/>
        <i x="115"/>
        <i x="131" s="1"/>
        <i x="40"/>
        <i x="52"/>
        <i x="30"/>
        <i x="76"/>
        <i x="84"/>
        <i x="13"/>
        <i x="59"/>
        <i x="42"/>
        <i x="9"/>
        <i x="66"/>
        <i x="86"/>
        <i x="87"/>
        <i x="122"/>
        <i x="95"/>
        <i x="89"/>
        <i x="16"/>
        <i x="31"/>
        <i x="118"/>
        <i x="117"/>
        <i x="8"/>
        <i x="119"/>
        <i x="58"/>
        <i x="82"/>
        <i x="43"/>
        <i x="126"/>
        <i x="134"/>
        <i x="106"/>
        <i x="129"/>
        <i x="99"/>
        <i x="17"/>
        <i x="73"/>
        <i x="5"/>
        <i x="48"/>
        <i x="108"/>
        <i x="21"/>
        <i x="83"/>
        <i x="62"/>
        <i x="49"/>
        <i x="74"/>
        <i x="128"/>
        <i x="97"/>
        <i x="44"/>
        <i x="116"/>
        <i x="57"/>
        <i x="104"/>
        <i x="33"/>
        <i x="61"/>
        <i x="35"/>
        <i x="112"/>
        <i x="18"/>
        <i x="51"/>
        <i x="2"/>
        <i x="111"/>
        <i x="38"/>
        <i x="3"/>
        <i x="15"/>
        <i x="123"/>
        <i x="113"/>
        <i x="91"/>
        <i x="127"/>
        <i x="110"/>
        <i x="36"/>
        <i x="72"/>
        <i x="64"/>
        <i x="22"/>
        <i x="130"/>
        <i x="77"/>
        <i x="80"/>
        <i x="114"/>
        <i x="81"/>
        <i x="54"/>
        <i x="25"/>
        <i x="107"/>
        <i x="46"/>
        <i x="63"/>
        <i x="1"/>
        <i x="65"/>
        <i x="60"/>
        <i x="68"/>
        <i x="70"/>
        <i x="10"/>
        <i x="39"/>
        <i x="12"/>
        <i x="88"/>
        <i x="136"/>
        <i x="103"/>
        <i x="29"/>
        <i x="53"/>
        <i x="47"/>
        <i x="50"/>
        <i x="4"/>
        <i x="124"/>
        <i x="34"/>
        <i x="92"/>
        <i x="105"/>
        <i x="78"/>
        <i x="45"/>
        <i x="85"/>
        <i x="109"/>
        <i x="11"/>
        <i x="100"/>
        <i x="19"/>
        <i x="79"/>
        <i x="120"/>
        <i x="125"/>
        <i x="20"/>
        <i x="55"/>
        <i x="132"/>
        <i x="7"/>
        <i x="24"/>
        <i x="98"/>
        <i x="93"/>
        <i x="32"/>
        <i x="28"/>
        <i x="75"/>
        <i x="23"/>
        <i x="56"/>
        <i x="94"/>
        <i x="101"/>
        <i x="7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ity 1" xr10:uid="{729BD333-E41C-4D31-8E5F-FEF3852B8CA6}" cache="SegmentaçãodeDados_City1" caption="City" showCaption="0" style="Estilo Dashboard" rowHeight="257175"/>
</slicer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microsoft.com/office/2007/relationships/slicer" Target="../slicers/slicer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B4B58-2DCC-40A4-8F58-17CD3D258BF3}">
  <sheetPr codeName="Planilha1"/>
  <dimension ref="A1:O250"/>
  <sheetViews>
    <sheetView topLeftCell="J2" zoomScale="145" zoomScaleNormal="145" workbookViewId="0">
      <selection activeCell="K2" sqref="K2"/>
    </sheetView>
  </sheetViews>
  <sheetFormatPr defaultRowHeight="15" x14ac:dyDescent="0.25"/>
  <cols>
    <col min="1" max="1" width="16.42578125" style="13" customWidth="1"/>
    <col min="2" max="2" width="11.85546875" style="13" customWidth="1"/>
    <col min="3" max="3" width="12.85546875" style="13" customWidth="1"/>
    <col min="4" max="4" width="17" style="13" customWidth="1"/>
    <col min="5" max="5" width="15.28515625" style="13" customWidth="1"/>
    <col min="6" max="6" width="13.85546875" style="13" customWidth="1"/>
    <col min="7" max="7" width="21.85546875" style="13" customWidth="1"/>
    <col min="8" max="8" width="20.42578125" style="13" customWidth="1"/>
    <col min="9" max="9" width="29.28515625" style="13" bestFit="1" customWidth="1"/>
    <col min="10" max="10" width="20.85546875" style="13" customWidth="1"/>
    <col min="11" max="11" width="80.7109375" style="13" bestFit="1" customWidth="1"/>
    <col min="12" max="12" width="23.85546875" style="13" customWidth="1"/>
    <col min="13" max="13" width="16.85546875" style="13" bestFit="1" customWidth="1"/>
    <col min="14" max="14" width="12.5703125" style="13" bestFit="1" customWidth="1"/>
    <col min="15" max="15" width="9" style="13" bestFit="1" customWidth="1"/>
  </cols>
  <sheetData>
    <row r="1" spans="1:15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3" t="s">
        <v>14</v>
      </c>
    </row>
    <row r="2" spans="1:15" x14ac:dyDescent="0.25">
      <c r="A2" s="7" t="s">
        <v>23</v>
      </c>
      <c r="B2" s="8">
        <v>7.0000000000000007E-2</v>
      </c>
      <c r="C2" s="8">
        <v>15.74</v>
      </c>
      <c r="D2" s="8">
        <v>1.39</v>
      </c>
      <c r="E2" s="8">
        <v>129</v>
      </c>
      <c r="F2" s="8" t="s">
        <v>32</v>
      </c>
      <c r="G2" s="8" t="s">
        <v>38</v>
      </c>
      <c r="H2" s="8" t="s">
        <v>18</v>
      </c>
      <c r="I2" s="8" t="s">
        <v>46</v>
      </c>
      <c r="J2" s="8" t="s">
        <v>39</v>
      </c>
      <c r="K2" s="8" t="s">
        <v>144</v>
      </c>
      <c r="L2" s="8">
        <v>0.4</v>
      </c>
      <c r="M2" s="8" t="s">
        <v>143</v>
      </c>
      <c r="N2" s="8">
        <v>149.8887</v>
      </c>
      <c r="O2" s="9">
        <v>217.23</v>
      </c>
    </row>
    <row r="3" spans="1:15" x14ac:dyDescent="0.25">
      <c r="A3" s="7" t="s">
        <v>23</v>
      </c>
      <c r="B3" s="8">
        <v>0.03</v>
      </c>
      <c r="C3" s="8">
        <v>48.04</v>
      </c>
      <c r="D3" s="8">
        <v>19.989999999999998</v>
      </c>
      <c r="E3" s="8">
        <v>445</v>
      </c>
      <c r="F3" s="8" t="s">
        <v>32</v>
      </c>
      <c r="G3" s="8" t="s">
        <v>38</v>
      </c>
      <c r="H3" s="8" t="s">
        <v>18</v>
      </c>
      <c r="I3" s="8" t="s">
        <v>63</v>
      </c>
      <c r="J3" s="8" t="s">
        <v>39</v>
      </c>
      <c r="K3" s="8" t="s">
        <v>351</v>
      </c>
      <c r="L3" s="8">
        <v>0.37</v>
      </c>
      <c r="M3" s="8" t="s">
        <v>352</v>
      </c>
      <c r="N3" s="8">
        <v>-4.46</v>
      </c>
      <c r="O3" s="9">
        <v>101.71</v>
      </c>
    </row>
    <row r="4" spans="1:15" x14ac:dyDescent="0.25">
      <c r="A4" s="4" t="s">
        <v>23</v>
      </c>
      <c r="B4" s="5">
        <v>0.02</v>
      </c>
      <c r="C4" s="5">
        <v>20.99</v>
      </c>
      <c r="D4" s="5">
        <v>4.8099999999999996</v>
      </c>
      <c r="E4" s="5">
        <v>370</v>
      </c>
      <c r="F4" s="5" t="s">
        <v>32</v>
      </c>
      <c r="G4" s="5" t="s">
        <v>17</v>
      </c>
      <c r="H4" s="5" t="s">
        <v>52</v>
      </c>
      <c r="I4" s="5" t="s">
        <v>53</v>
      </c>
      <c r="J4" s="5" t="s">
        <v>58</v>
      </c>
      <c r="K4" s="5" t="s">
        <v>311</v>
      </c>
      <c r="L4" s="5">
        <v>0.57999999999999996</v>
      </c>
      <c r="M4" s="5" t="s">
        <v>312</v>
      </c>
      <c r="N4" s="5">
        <v>49.787999999999997</v>
      </c>
      <c r="O4" s="6">
        <v>266.39</v>
      </c>
    </row>
    <row r="5" spans="1:15" x14ac:dyDescent="0.25">
      <c r="A5" s="4" t="s">
        <v>15</v>
      </c>
      <c r="B5" s="5">
        <v>0.03</v>
      </c>
      <c r="C5" s="5">
        <v>15.99</v>
      </c>
      <c r="D5" s="5">
        <v>11.28</v>
      </c>
      <c r="E5" s="5">
        <v>451</v>
      </c>
      <c r="F5" s="5" t="s">
        <v>32</v>
      </c>
      <c r="G5" s="5" t="s">
        <v>25</v>
      </c>
      <c r="H5" s="5" t="s">
        <v>52</v>
      </c>
      <c r="I5" s="5" t="s">
        <v>57</v>
      </c>
      <c r="J5" s="5" t="s">
        <v>58</v>
      </c>
      <c r="K5" s="5" t="s">
        <v>357</v>
      </c>
      <c r="L5" s="5">
        <v>0.38</v>
      </c>
      <c r="M5" s="5" t="s">
        <v>358</v>
      </c>
      <c r="N5" s="5">
        <v>-53.296199999999999</v>
      </c>
      <c r="O5" s="6">
        <v>35.479999999999997</v>
      </c>
    </row>
    <row r="6" spans="1:15" x14ac:dyDescent="0.25">
      <c r="A6" s="7" t="s">
        <v>23</v>
      </c>
      <c r="B6" s="8">
        <v>0.05</v>
      </c>
      <c r="C6" s="8">
        <v>200.99</v>
      </c>
      <c r="D6" s="8">
        <v>4.2</v>
      </c>
      <c r="E6" s="8">
        <v>447</v>
      </c>
      <c r="F6" s="8" t="s">
        <v>32</v>
      </c>
      <c r="G6" s="8" t="s">
        <v>17</v>
      </c>
      <c r="H6" s="8" t="s">
        <v>52</v>
      </c>
      <c r="I6" s="8" t="s">
        <v>53</v>
      </c>
      <c r="J6" s="8" t="s">
        <v>39</v>
      </c>
      <c r="K6" s="8" t="s">
        <v>356</v>
      </c>
      <c r="L6" s="8">
        <v>0.59</v>
      </c>
      <c r="M6" s="8" t="s">
        <v>355</v>
      </c>
      <c r="N6" s="8">
        <v>1268.8064999999999</v>
      </c>
      <c r="O6" s="9">
        <v>1838.85</v>
      </c>
    </row>
    <row r="7" spans="1:15" x14ac:dyDescent="0.25">
      <c r="A7" s="4" t="s">
        <v>73</v>
      </c>
      <c r="B7" s="5">
        <v>0.02</v>
      </c>
      <c r="C7" s="5">
        <v>125.99</v>
      </c>
      <c r="D7" s="5">
        <v>3</v>
      </c>
      <c r="E7" s="5">
        <v>241</v>
      </c>
      <c r="F7" s="5" t="s">
        <v>32</v>
      </c>
      <c r="G7" s="5" t="s">
        <v>38</v>
      </c>
      <c r="H7" s="5" t="s">
        <v>52</v>
      </c>
      <c r="I7" s="5" t="s">
        <v>53</v>
      </c>
      <c r="J7" s="5" t="s">
        <v>39</v>
      </c>
      <c r="K7" s="5" t="s">
        <v>228</v>
      </c>
      <c r="L7" s="5">
        <v>0.59</v>
      </c>
      <c r="M7" s="5" t="s">
        <v>226</v>
      </c>
      <c r="N7" s="5">
        <v>398.358</v>
      </c>
      <c r="O7" s="6">
        <v>873.18</v>
      </c>
    </row>
    <row r="8" spans="1:15" x14ac:dyDescent="0.25">
      <c r="A8" s="7" t="s">
        <v>37</v>
      </c>
      <c r="B8" s="8">
        <v>0.03</v>
      </c>
      <c r="C8" s="8">
        <v>25.98</v>
      </c>
      <c r="D8" s="8">
        <v>5.37</v>
      </c>
      <c r="E8" s="8">
        <v>377</v>
      </c>
      <c r="F8" s="8" t="s">
        <v>32</v>
      </c>
      <c r="G8" s="8" t="s">
        <v>79</v>
      </c>
      <c r="H8" s="8" t="s">
        <v>18</v>
      </c>
      <c r="I8" s="8" t="s">
        <v>168</v>
      </c>
      <c r="J8" s="8" t="s">
        <v>58</v>
      </c>
      <c r="K8" s="5" t="s">
        <v>228</v>
      </c>
      <c r="L8" s="8">
        <v>0.5</v>
      </c>
      <c r="M8" s="8" t="s">
        <v>283</v>
      </c>
      <c r="N8" s="8">
        <v>250.0376</v>
      </c>
      <c r="O8" s="9">
        <v>460.87</v>
      </c>
    </row>
    <row r="9" spans="1:15" x14ac:dyDescent="0.25">
      <c r="A9" s="4" t="s">
        <v>37</v>
      </c>
      <c r="B9" s="5">
        <v>0.09</v>
      </c>
      <c r="C9" s="5">
        <v>5.4</v>
      </c>
      <c r="D9" s="5">
        <v>7.78</v>
      </c>
      <c r="E9" s="5">
        <v>210</v>
      </c>
      <c r="F9" s="5" t="s">
        <v>16</v>
      </c>
      <c r="G9" s="5" t="s">
        <v>25</v>
      </c>
      <c r="H9" s="5" t="s">
        <v>18</v>
      </c>
      <c r="I9" s="5" t="s">
        <v>75</v>
      </c>
      <c r="J9" s="5" t="s">
        <v>39</v>
      </c>
      <c r="K9" s="5" t="s">
        <v>204</v>
      </c>
      <c r="L9" s="5">
        <v>0.37</v>
      </c>
      <c r="M9" s="5" t="s">
        <v>203</v>
      </c>
      <c r="N9" s="5">
        <v>-21.487749999999998</v>
      </c>
      <c r="O9" s="6">
        <v>27.3</v>
      </c>
    </row>
    <row r="10" spans="1:15" x14ac:dyDescent="0.25">
      <c r="A10" s="7" t="s">
        <v>23</v>
      </c>
      <c r="B10" s="8">
        <v>0.05</v>
      </c>
      <c r="C10" s="8">
        <v>5.4</v>
      </c>
      <c r="D10" s="8">
        <v>7.78</v>
      </c>
      <c r="E10" s="8">
        <v>371</v>
      </c>
      <c r="F10" s="8" t="s">
        <v>16</v>
      </c>
      <c r="G10" s="8" t="s">
        <v>17</v>
      </c>
      <c r="H10" s="8" t="s">
        <v>18</v>
      </c>
      <c r="I10" s="8" t="s">
        <v>75</v>
      </c>
      <c r="J10" s="8" t="s">
        <v>39</v>
      </c>
      <c r="K10" s="8" t="s">
        <v>204</v>
      </c>
      <c r="L10" s="8">
        <v>0.37</v>
      </c>
      <c r="M10" s="8" t="s">
        <v>313</v>
      </c>
      <c r="N10" s="8">
        <v>-132.62950000000001</v>
      </c>
      <c r="O10" s="9">
        <v>51.82</v>
      </c>
    </row>
    <row r="11" spans="1:15" x14ac:dyDescent="0.25">
      <c r="A11" s="4" t="s">
        <v>23</v>
      </c>
      <c r="B11" s="5">
        <v>0</v>
      </c>
      <c r="C11" s="5">
        <v>8.09</v>
      </c>
      <c r="D11" s="5">
        <v>7.96</v>
      </c>
      <c r="E11" s="5">
        <v>84</v>
      </c>
      <c r="F11" s="5" t="s">
        <v>32</v>
      </c>
      <c r="G11" s="5" t="s">
        <v>79</v>
      </c>
      <c r="H11" s="5" t="s">
        <v>26</v>
      </c>
      <c r="I11" s="5" t="s">
        <v>33</v>
      </c>
      <c r="J11" s="5" t="s">
        <v>39</v>
      </c>
      <c r="K11" s="5" t="s">
        <v>105</v>
      </c>
      <c r="L11" s="5">
        <v>0.49</v>
      </c>
      <c r="M11" s="5" t="s">
        <v>106</v>
      </c>
      <c r="N11" s="5">
        <v>-144.56</v>
      </c>
      <c r="O11" s="6">
        <v>90.98</v>
      </c>
    </row>
    <row r="12" spans="1:15" x14ac:dyDescent="0.25">
      <c r="A12" s="7" t="s">
        <v>15</v>
      </c>
      <c r="B12" s="8">
        <v>0.01</v>
      </c>
      <c r="C12" s="8">
        <v>8.33</v>
      </c>
      <c r="D12" s="8">
        <v>1.99</v>
      </c>
      <c r="E12" s="8">
        <v>306</v>
      </c>
      <c r="F12" s="8" t="s">
        <v>32</v>
      </c>
      <c r="G12" s="8" t="s">
        <v>38</v>
      </c>
      <c r="H12" s="8" t="s">
        <v>52</v>
      </c>
      <c r="I12" s="8" t="s">
        <v>121</v>
      </c>
      <c r="J12" s="8" t="s">
        <v>34</v>
      </c>
      <c r="K12" s="8" t="s">
        <v>273</v>
      </c>
      <c r="L12" s="8">
        <v>0.52</v>
      </c>
      <c r="M12" s="8" t="s">
        <v>274</v>
      </c>
      <c r="N12" s="8">
        <v>15.895200000000001</v>
      </c>
      <c r="O12" s="9">
        <v>70.16</v>
      </c>
    </row>
    <row r="13" spans="1:15" x14ac:dyDescent="0.25">
      <c r="A13" s="7" t="s">
        <v>15</v>
      </c>
      <c r="B13" s="8">
        <v>0.01</v>
      </c>
      <c r="C13" s="8">
        <v>8.33</v>
      </c>
      <c r="D13" s="8">
        <v>1.99</v>
      </c>
      <c r="E13" s="8">
        <v>308</v>
      </c>
      <c r="F13" s="8" t="s">
        <v>32</v>
      </c>
      <c r="G13" s="8" t="s">
        <v>38</v>
      </c>
      <c r="H13" s="8" t="s">
        <v>52</v>
      </c>
      <c r="I13" s="8" t="s">
        <v>121</v>
      </c>
      <c r="J13" s="8" t="s">
        <v>34</v>
      </c>
      <c r="K13" s="8" t="s">
        <v>273</v>
      </c>
      <c r="L13" s="8">
        <v>0.52</v>
      </c>
      <c r="M13" s="8" t="s">
        <v>137</v>
      </c>
      <c r="N13" s="8">
        <v>10.74</v>
      </c>
      <c r="O13" s="9">
        <v>280.62</v>
      </c>
    </row>
    <row r="14" spans="1:15" x14ac:dyDescent="0.25">
      <c r="A14" s="7" t="s">
        <v>73</v>
      </c>
      <c r="B14" s="8">
        <v>0.04</v>
      </c>
      <c r="C14" s="8">
        <v>8.33</v>
      </c>
      <c r="D14" s="8">
        <v>1.99</v>
      </c>
      <c r="E14" s="8">
        <v>321</v>
      </c>
      <c r="F14" s="8" t="s">
        <v>32</v>
      </c>
      <c r="G14" s="8" t="s">
        <v>79</v>
      </c>
      <c r="H14" s="8" t="s">
        <v>52</v>
      </c>
      <c r="I14" s="8" t="s">
        <v>121</v>
      </c>
      <c r="J14" s="8" t="s">
        <v>34</v>
      </c>
      <c r="K14" s="8" t="s">
        <v>273</v>
      </c>
      <c r="L14" s="8">
        <v>0.52</v>
      </c>
      <c r="M14" s="8" t="s">
        <v>281</v>
      </c>
      <c r="N14" s="8">
        <v>9.9268000000000001</v>
      </c>
      <c r="O14" s="9">
        <v>89.76</v>
      </c>
    </row>
    <row r="15" spans="1:15" x14ac:dyDescent="0.25">
      <c r="A15" s="7" t="s">
        <v>15</v>
      </c>
      <c r="B15" s="8">
        <v>0</v>
      </c>
      <c r="C15" s="8">
        <v>85.99</v>
      </c>
      <c r="D15" s="8">
        <v>3.3</v>
      </c>
      <c r="E15" s="8">
        <v>428</v>
      </c>
      <c r="F15" s="8" t="s">
        <v>32</v>
      </c>
      <c r="G15" s="8" t="s">
        <v>17</v>
      </c>
      <c r="H15" s="8" t="s">
        <v>52</v>
      </c>
      <c r="I15" s="8" t="s">
        <v>53</v>
      </c>
      <c r="J15" s="8" t="s">
        <v>34</v>
      </c>
      <c r="K15" s="8" t="s">
        <v>347</v>
      </c>
      <c r="L15" s="8">
        <v>0.37</v>
      </c>
      <c r="M15" s="8" t="s">
        <v>346</v>
      </c>
      <c r="N15" s="8">
        <v>-302.22500000000002</v>
      </c>
      <c r="O15" s="9">
        <v>73.819999999999993</v>
      </c>
    </row>
    <row r="16" spans="1:15" x14ac:dyDescent="0.25">
      <c r="A16" s="4" t="s">
        <v>15</v>
      </c>
      <c r="B16" s="5">
        <v>0.04</v>
      </c>
      <c r="C16" s="5">
        <v>85.99</v>
      </c>
      <c r="D16" s="5">
        <v>0.99</v>
      </c>
      <c r="E16" s="5">
        <v>306</v>
      </c>
      <c r="F16" s="5" t="s">
        <v>32</v>
      </c>
      <c r="G16" s="5" t="s">
        <v>38</v>
      </c>
      <c r="H16" s="5" t="s">
        <v>52</v>
      </c>
      <c r="I16" s="5" t="s">
        <v>53</v>
      </c>
      <c r="J16" s="5" t="s">
        <v>20</v>
      </c>
      <c r="K16" s="5" t="s">
        <v>275</v>
      </c>
      <c r="L16" s="5">
        <v>0.55000000000000004</v>
      </c>
      <c r="M16" s="5" t="s">
        <v>274</v>
      </c>
      <c r="N16" s="5">
        <v>855.99329999999998</v>
      </c>
      <c r="O16" s="6">
        <v>1240.57</v>
      </c>
    </row>
    <row r="17" spans="1:15" x14ac:dyDescent="0.25">
      <c r="A17" s="4" t="s">
        <v>31</v>
      </c>
      <c r="B17" s="5">
        <v>0.03</v>
      </c>
      <c r="C17" s="5">
        <v>55.99</v>
      </c>
      <c r="D17" s="5">
        <v>5</v>
      </c>
      <c r="E17" s="5">
        <v>282</v>
      </c>
      <c r="F17" s="5" t="s">
        <v>32</v>
      </c>
      <c r="G17" s="5" t="s">
        <v>17</v>
      </c>
      <c r="H17" s="5" t="s">
        <v>52</v>
      </c>
      <c r="I17" s="5" t="s">
        <v>53</v>
      </c>
      <c r="J17" s="5" t="s">
        <v>34</v>
      </c>
      <c r="K17" s="5" t="s">
        <v>262</v>
      </c>
      <c r="L17" s="5">
        <v>0.83</v>
      </c>
      <c r="M17" s="5" t="s">
        <v>263</v>
      </c>
      <c r="N17" s="5">
        <v>-221.25399999999999</v>
      </c>
      <c r="O17" s="6">
        <v>416.95</v>
      </c>
    </row>
    <row r="18" spans="1:15" x14ac:dyDescent="0.25">
      <c r="A18" s="4" t="s">
        <v>31</v>
      </c>
      <c r="B18" s="5">
        <v>0.01</v>
      </c>
      <c r="C18" s="5">
        <v>55.99</v>
      </c>
      <c r="D18" s="5">
        <v>5</v>
      </c>
      <c r="E18" s="5">
        <v>452</v>
      </c>
      <c r="F18" s="5" t="s">
        <v>32</v>
      </c>
      <c r="G18" s="5" t="s">
        <v>25</v>
      </c>
      <c r="H18" s="5" t="s">
        <v>52</v>
      </c>
      <c r="I18" s="5" t="s">
        <v>53</v>
      </c>
      <c r="J18" s="5" t="s">
        <v>34</v>
      </c>
      <c r="K18" s="5" t="s">
        <v>262</v>
      </c>
      <c r="L18" s="5">
        <v>0.83</v>
      </c>
      <c r="M18" s="5" t="s">
        <v>360</v>
      </c>
      <c r="N18" s="5">
        <v>-235.89500000000001</v>
      </c>
      <c r="O18" s="6">
        <v>51.83</v>
      </c>
    </row>
    <row r="19" spans="1:15" x14ac:dyDescent="0.25">
      <c r="A19" s="4" t="s">
        <v>23</v>
      </c>
      <c r="B19" s="5">
        <v>0.04</v>
      </c>
      <c r="C19" s="5">
        <v>85.99</v>
      </c>
      <c r="D19" s="5">
        <v>0.99</v>
      </c>
      <c r="E19" s="5">
        <v>373</v>
      </c>
      <c r="F19" s="5" t="s">
        <v>32</v>
      </c>
      <c r="G19" s="5" t="s">
        <v>38</v>
      </c>
      <c r="H19" s="5" t="s">
        <v>52</v>
      </c>
      <c r="I19" s="5" t="s">
        <v>53</v>
      </c>
      <c r="J19" s="5" t="s">
        <v>20</v>
      </c>
      <c r="K19" s="5" t="s">
        <v>316</v>
      </c>
      <c r="L19" s="5">
        <v>0.85</v>
      </c>
      <c r="M19" s="5" t="s">
        <v>198</v>
      </c>
      <c r="N19" s="5">
        <v>-175.17500000000001</v>
      </c>
      <c r="O19" s="6">
        <v>1426.51</v>
      </c>
    </row>
    <row r="20" spans="1:15" x14ac:dyDescent="0.25">
      <c r="A20" s="4" t="s">
        <v>37</v>
      </c>
      <c r="B20" s="5">
        <v>0.01</v>
      </c>
      <c r="C20" s="5">
        <v>29.1</v>
      </c>
      <c r="D20" s="5">
        <v>4</v>
      </c>
      <c r="E20" s="5">
        <v>331</v>
      </c>
      <c r="F20" s="5" t="s">
        <v>16</v>
      </c>
      <c r="G20" s="5" t="s">
        <v>25</v>
      </c>
      <c r="H20" s="5" t="s">
        <v>52</v>
      </c>
      <c r="I20" s="5" t="s">
        <v>121</v>
      </c>
      <c r="J20" s="5" t="s">
        <v>39</v>
      </c>
      <c r="K20" s="5" t="s">
        <v>285</v>
      </c>
      <c r="L20" s="5">
        <v>0.78</v>
      </c>
      <c r="M20" s="5" t="s">
        <v>286</v>
      </c>
      <c r="N20" s="5">
        <v>-22.82</v>
      </c>
      <c r="O20" s="6">
        <v>243.32</v>
      </c>
    </row>
    <row r="21" spans="1:15" x14ac:dyDescent="0.25">
      <c r="A21" s="4" t="s">
        <v>37</v>
      </c>
      <c r="B21" s="5">
        <v>0.09</v>
      </c>
      <c r="C21" s="5">
        <v>3.29</v>
      </c>
      <c r="D21" s="5">
        <v>1.35</v>
      </c>
      <c r="E21" s="5">
        <v>194</v>
      </c>
      <c r="F21" s="5" t="s">
        <v>32</v>
      </c>
      <c r="G21" s="5" t="s">
        <v>17</v>
      </c>
      <c r="H21" s="5" t="s">
        <v>18</v>
      </c>
      <c r="I21" s="5" t="s">
        <v>44</v>
      </c>
      <c r="J21" s="5" t="s">
        <v>20</v>
      </c>
      <c r="K21" s="5" t="s">
        <v>196</v>
      </c>
      <c r="L21" s="5">
        <v>0.4</v>
      </c>
      <c r="M21" s="5" t="s">
        <v>195</v>
      </c>
      <c r="N21" s="5">
        <v>15.66</v>
      </c>
      <c r="O21" s="6">
        <v>71.55</v>
      </c>
    </row>
    <row r="22" spans="1:15" x14ac:dyDescent="0.25">
      <c r="A22" s="4" t="s">
        <v>73</v>
      </c>
      <c r="B22" s="5">
        <v>0</v>
      </c>
      <c r="C22" s="5">
        <v>4.13</v>
      </c>
      <c r="D22" s="5">
        <v>5.34</v>
      </c>
      <c r="E22" s="5">
        <v>286</v>
      </c>
      <c r="F22" s="5" t="s">
        <v>32</v>
      </c>
      <c r="G22" s="5" t="s">
        <v>38</v>
      </c>
      <c r="H22" s="5" t="s">
        <v>18</v>
      </c>
      <c r="I22" s="5" t="s">
        <v>75</v>
      </c>
      <c r="J22" s="5" t="s">
        <v>39</v>
      </c>
      <c r="K22" s="5" t="s">
        <v>265</v>
      </c>
      <c r="L22" s="5">
        <v>0.38</v>
      </c>
      <c r="M22" s="5" t="s">
        <v>266</v>
      </c>
      <c r="N22" s="5">
        <v>-61.87</v>
      </c>
      <c r="O22" s="6">
        <v>40.950000000000003</v>
      </c>
    </row>
    <row r="23" spans="1:15" x14ac:dyDescent="0.25">
      <c r="A23" s="4" t="s">
        <v>37</v>
      </c>
      <c r="B23" s="5">
        <v>0.04</v>
      </c>
      <c r="C23" s="5">
        <v>12.98</v>
      </c>
      <c r="D23" s="5">
        <v>3.14</v>
      </c>
      <c r="E23" s="5">
        <v>92</v>
      </c>
      <c r="F23" s="5" t="s">
        <v>16</v>
      </c>
      <c r="G23" s="5" t="s">
        <v>17</v>
      </c>
      <c r="H23" s="5" t="s">
        <v>18</v>
      </c>
      <c r="I23" s="5" t="s">
        <v>117</v>
      </c>
      <c r="J23" s="5" t="s">
        <v>34</v>
      </c>
      <c r="K23" s="5" t="s">
        <v>118</v>
      </c>
      <c r="L23" s="5">
        <v>0.6</v>
      </c>
      <c r="M23" s="5" t="s">
        <v>115</v>
      </c>
      <c r="N23" s="5">
        <v>22.818000000000001</v>
      </c>
      <c r="O23" s="6">
        <v>216.04</v>
      </c>
    </row>
    <row r="24" spans="1:15" x14ac:dyDescent="0.25">
      <c r="A24" s="7" t="s">
        <v>31</v>
      </c>
      <c r="B24" s="8">
        <v>0.03</v>
      </c>
      <c r="C24" s="8">
        <v>8.34</v>
      </c>
      <c r="D24" s="8">
        <v>2.64</v>
      </c>
      <c r="E24" s="8">
        <v>256</v>
      </c>
      <c r="F24" s="8" t="s">
        <v>32</v>
      </c>
      <c r="G24" s="8" t="s">
        <v>25</v>
      </c>
      <c r="H24" s="8" t="s">
        <v>18</v>
      </c>
      <c r="I24" s="8" t="s">
        <v>117</v>
      </c>
      <c r="J24" s="8" t="s">
        <v>34</v>
      </c>
      <c r="K24" s="8" t="s">
        <v>237</v>
      </c>
      <c r="L24" s="8">
        <v>0.59</v>
      </c>
      <c r="M24" s="8" t="s">
        <v>238</v>
      </c>
      <c r="N24" s="8">
        <v>0.68400000000000005</v>
      </c>
      <c r="O24" s="9">
        <v>34.64</v>
      </c>
    </row>
    <row r="25" spans="1:15" x14ac:dyDescent="0.25">
      <c r="A25" s="4" t="s">
        <v>31</v>
      </c>
      <c r="B25" s="5">
        <v>0</v>
      </c>
      <c r="C25" s="5">
        <v>8.34</v>
      </c>
      <c r="D25" s="5">
        <v>2.64</v>
      </c>
      <c r="E25" s="5">
        <v>349</v>
      </c>
      <c r="F25" s="5" t="s">
        <v>16</v>
      </c>
      <c r="G25" s="5" t="s">
        <v>25</v>
      </c>
      <c r="H25" s="5" t="s">
        <v>18</v>
      </c>
      <c r="I25" s="5" t="s">
        <v>117</v>
      </c>
      <c r="J25" s="5" t="s">
        <v>34</v>
      </c>
      <c r="K25" s="5" t="s">
        <v>237</v>
      </c>
      <c r="L25" s="5">
        <v>0.59</v>
      </c>
      <c r="M25" s="5" t="s">
        <v>294</v>
      </c>
      <c r="N25" s="5">
        <v>5.8624999999999998</v>
      </c>
      <c r="O25" s="6">
        <v>212.89</v>
      </c>
    </row>
    <row r="26" spans="1:15" x14ac:dyDescent="0.25">
      <c r="A26" s="4" t="s">
        <v>31</v>
      </c>
      <c r="B26" s="5">
        <v>0</v>
      </c>
      <c r="C26" s="5">
        <v>8.34</v>
      </c>
      <c r="D26" s="5">
        <v>2.64</v>
      </c>
      <c r="E26" s="5">
        <v>351</v>
      </c>
      <c r="F26" s="5" t="s">
        <v>16</v>
      </c>
      <c r="G26" s="5" t="s">
        <v>25</v>
      </c>
      <c r="H26" s="5" t="s">
        <v>18</v>
      </c>
      <c r="I26" s="5" t="s">
        <v>117</v>
      </c>
      <c r="J26" s="5" t="s">
        <v>34</v>
      </c>
      <c r="K26" s="5" t="s">
        <v>237</v>
      </c>
      <c r="L26" s="5">
        <v>0.59</v>
      </c>
      <c r="M26" s="5" t="s">
        <v>299</v>
      </c>
      <c r="N26" s="5">
        <v>10.5</v>
      </c>
      <c r="O26" s="6">
        <v>55.54</v>
      </c>
    </row>
    <row r="27" spans="1:15" x14ac:dyDescent="0.25">
      <c r="A27" s="7" t="s">
        <v>31</v>
      </c>
      <c r="B27" s="8">
        <v>0.06</v>
      </c>
      <c r="C27" s="8">
        <v>8.57</v>
      </c>
      <c r="D27" s="8">
        <v>6.14</v>
      </c>
      <c r="E27" s="8">
        <v>123</v>
      </c>
      <c r="F27" s="8" t="s">
        <v>32</v>
      </c>
      <c r="G27" s="8" t="s">
        <v>25</v>
      </c>
      <c r="H27" s="8" t="s">
        <v>18</v>
      </c>
      <c r="I27" s="8" t="s">
        <v>117</v>
      </c>
      <c r="J27" s="8" t="s">
        <v>34</v>
      </c>
      <c r="K27" s="8" t="s">
        <v>140</v>
      </c>
      <c r="L27" s="8">
        <v>0.59</v>
      </c>
      <c r="M27" s="8" t="s">
        <v>141</v>
      </c>
      <c r="N27" s="8">
        <v>105.678</v>
      </c>
      <c r="O27" s="9">
        <v>94.97</v>
      </c>
    </row>
    <row r="28" spans="1:15" x14ac:dyDescent="0.25">
      <c r="A28" s="4" t="s">
        <v>23</v>
      </c>
      <c r="B28" s="5">
        <v>0.08</v>
      </c>
      <c r="C28" s="5">
        <v>5</v>
      </c>
      <c r="D28" s="5">
        <v>3.39</v>
      </c>
      <c r="E28" s="5">
        <v>21</v>
      </c>
      <c r="F28" s="5" t="s">
        <v>32</v>
      </c>
      <c r="G28" s="5" t="s">
        <v>38</v>
      </c>
      <c r="H28" s="5" t="s">
        <v>18</v>
      </c>
      <c r="I28" s="5" t="s">
        <v>44</v>
      </c>
      <c r="J28" s="5" t="s">
        <v>20</v>
      </c>
      <c r="K28" s="5" t="s">
        <v>62</v>
      </c>
      <c r="L28" s="5">
        <v>0.37</v>
      </c>
      <c r="M28" s="5" t="s">
        <v>61</v>
      </c>
      <c r="N28" s="5">
        <v>-17.489999999999998</v>
      </c>
      <c r="O28" s="6">
        <v>293.06</v>
      </c>
    </row>
    <row r="29" spans="1:15" x14ac:dyDescent="0.25">
      <c r="A29" s="4" t="s">
        <v>31</v>
      </c>
      <c r="B29" s="5">
        <v>0.03</v>
      </c>
      <c r="C29" s="5">
        <v>15.23</v>
      </c>
      <c r="D29" s="5">
        <v>27.75</v>
      </c>
      <c r="E29" s="5">
        <v>343</v>
      </c>
      <c r="F29" s="5" t="s">
        <v>24</v>
      </c>
      <c r="G29" s="5" t="s">
        <v>17</v>
      </c>
      <c r="H29" s="5" t="s">
        <v>26</v>
      </c>
      <c r="I29" s="5" t="s">
        <v>102</v>
      </c>
      <c r="J29" s="5" t="s">
        <v>83</v>
      </c>
      <c r="K29" s="5" t="s">
        <v>295</v>
      </c>
      <c r="L29" s="5">
        <v>0.76</v>
      </c>
      <c r="M29" s="5" t="s">
        <v>296</v>
      </c>
      <c r="N29" s="5">
        <v>11.65095</v>
      </c>
      <c r="O29" s="6">
        <v>111.86</v>
      </c>
    </row>
    <row r="30" spans="1:15" x14ac:dyDescent="0.25">
      <c r="A30" s="7" t="s">
        <v>15</v>
      </c>
      <c r="B30" s="8">
        <v>0.01</v>
      </c>
      <c r="C30" s="8">
        <v>80.48</v>
      </c>
      <c r="D30" s="8">
        <v>4.5</v>
      </c>
      <c r="E30" s="8">
        <v>191</v>
      </c>
      <c r="F30" s="8" t="s">
        <v>32</v>
      </c>
      <c r="G30" s="8" t="s">
        <v>17</v>
      </c>
      <c r="H30" s="8" t="s">
        <v>18</v>
      </c>
      <c r="I30" s="8" t="s">
        <v>168</v>
      </c>
      <c r="J30" s="8" t="s">
        <v>39</v>
      </c>
      <c r="K30" s="8" t="s">
        <v>188</v>
      </c>
      <c r="L30" s="8">
        <v>0.55000000000000004</v>
      </c>
      <c r="M30" s="8" t="s">
        <v>189</v>
      </c>
      <c r="N30" s="8">
        <v>-35.474400000000003</v>
      </c>
      <c r="O30" s="9">
        <v>79.680000000000007</v>
      </c>
    </row>
    <row r="31" spans="1:15" x14ac:dyDescent="0.25">
      <c r="A31" s="4" t="s">
        <v>37</v>
      </c>
      <c r="B31" s="5">
        <v>0.05</v>
      </c>
      <c r="C31" s="5">
        <v>5.18</v>
      </c>
      <c r="D31" s="5">
        <v>2.04</v>
      </c>
      <c r="E31" s="5">
        <v>91</v>
      </c>
      <c r="F31" s="5" t="s">
        <v>32</v>
      </c>
      <c r="G31" s="5" t="s">
        <v>25</v>
      </c>
      <c r="H31" s="5" t="s">
        <v>18</v>
      </c>
      <c r="I31" s="5" t="s">
        <v>63</v>
      </c>
      <c r="J31" s="5" t="s">
        <v>20</v>
      </c>
      <c r="K31" s="5" t="s">
        <v>113</v>
      </c>
      <c r="L31" s="5">
        <v>0.36</v>
      </c>
      <c r="M31" s="5" t="s">
        <v>112</v>
      </c>
      <c r="N31" s="5">
        <v>34.010399999999997</v>
      </c>
      <c r="O31" s="6">
        <v>53.54</v>
      </c>
    </row>
    <row r="32" spans="1:15" x14ac:dyDescent="0.25">
      <c r="A32" s="7" t="s">
        <v>15</v>
      </c>
      <c r="B32" s="8">
        <v>0</v>
      </c>
      <c r="C32" s="8">
        <v>99.99</v>
      </c>
      <c r="D32" s="8">
        <v>19.989999999999998</v>
      </c>
      <c r="E32" s="8">
        <v>43</v>
      </c>
      <c r="F32" s="8" t="s">
        <v>32</v>
      </c>
      <c r="G32" s="8" t="s">
        <v>79</v>
      </c>
      <c r="H32" s="8" t="s">
        <v>52</v>
      </c>
      <c r="I32" s="8" t="s">
        <v>57</v>
      </c>
      <c r="J32" s="8" t="s">
        <v>39</v>
      </c>
      <c r="K32" s="8" t="s">
        <v>80</v>
      </c>
      <c r="L32" s="8">
        <v>0.52</v>
      </c>
      <c r="M32" s="8" t="s">
        <v>81</v>
      </c>
      <c r="N32" s="8">
        <v>25.913820000000001</v>
      </c>
      <c r="O32" s="9">
        <v>647.07000000000005</v>
      </c>
    </row>
    <row r="33" spans="1:15" x14ac:dyDescent="0.25">
      <c r="A33" s="4" t="s">
        <v>37</v>
      </c>
      <c r="B33" s="5">
        <v>0.04</v>
      </c>
      <c r="C33" s="5">
        <v>300.98</v>
      </c>
      <c r="D33" s="5">
        <v>54.92</v>
      </c>
      <c r="E33" s="5">
        <v>102</v>
      </c>
      <c r="F33" s="5" t="s">
        <v>24</v>
      </c>
      <c r="G33" s="5" t="s">
        <v>79</v>
      </c>
      <c r="H33" s="5" t="s">
        <v>26</v>
      </c>
      <c r="I33" s="5" t="s">
        <v>126</v>
      </c>
      <c r="J33" s="5" t="s">
        <v>83</v>
      </c>
      <c r="K33" s="5" t="s">
        <v>127</v>
      </c>
      <c r="L33" s="5">
        <v>0.55000000000000004</v>
      </c>
      <c r="M33" s="5" t="s">
        <v>128</v>
      </c>
      <c r="N33" s="5">
        <v>2023.75</v>
      </c>
      <c r="O33" s="6">
        <v>9459.94</v>
      </c>
    </row>
    <row r="34" spans="1:15" x14ac:dyDescent="0.25">
      <c r="A34" s="7" t="s">
        <v>37</v>
      </c>
      <c r="B34" s="8">
        <v>0.04</v>
      </c>
      <c r="C34" s="8">
        <v>300.98</v>
      </c>
      <c r="D34" s="8">
        <v>54.92</v>
      </c>
      <c r="E34" s="8">
        <v>107</v>
      </c>
      <c r="F34" s="8" t="s">
        <v>24</v>
      </c>
      <c r="G34" s="8" t="s">
        <v>79</v>
      </c>
      <c r="H34" s="8" t="s">
        <v>26</v>
      </c>
      <c r="I34" s="8" t="s">
        <v>126</v>
      </c>
      <c r="J34" s="8" t="s">
        <v>83</v>
      </c>
      <c r="K34" s="8" t="s">
        <v>127</v>
      </c>
      <c r="L34" s="8">
        <v>0.55000000000000004</v>
      </c>
      <c r="M34" s="8" t="s">
        <v>130</v>
      </c>
      <c r="N34" s="8">
        <v>1684.4763</v>
      </c>
      <c r="O34" s="9">
        <v>2441.27</v>
      </c>
    </row>
    <row r="35" spans="1:15" x14ac:dyDescent="0.25">
      <c r="A35" s="7" t="s">
        <v>15</v>
      </c>
      <c r="B35" s="8">
        <v>0.09</v>
      </c>
      <c r="C35" s="8">
        <v>4.91</v>
      </c>
      <c r="D35" s="8">
        <v>0.5</v>
      </c>
      <c r="E35" s="8">
        <v>87</v>
      </c>
      <c r="F35" s="8" t="s">
        <v>32</v>
      </c>
      <c r="G35" s="8" t="s">
        <v>17</v>
      </c>
      <c r="H35" s="8" t="s">
        <v>18</v>
      </c>
      <c r="I35" s="8" t="s">
        <v>92</v>
      </c>
      <c r="J35" s="8" t="s">
        <v>39</v>
      </c>
      <c r="K35" s="8" t="s">
        <v>110</v>
      </c>
      <c r="L35" s="8">
        <v>0.36</v>
      </c>
      <c r="M35" s="8" t="s">
        <v>109</v>
      </c>
      <c r="N35" s="8">
        <v>28.855799999999999</v>
      </c>
      <c r="O35" s="9">
        <v>41.82</v>
      </c>
    </row>
    <row r="36" spans="1:15" x14ac:dyDescent="0.25">
      <c r="A36" s="4" t="s">
        <v>37</v>
      </c>
      <c r="B36" s="5">
        <v>0.01</v>
      </c>
      <c r="C36" s="5">
        <v>4.91</v>
      </c>
      <c r="D36" s="5">
        <v>0.5</v>
      </c>
      <c r="E36" s="5">
        <v>114</v>
      </c>
      <c r="F36" s="5" t="s">
        <v>32</v>
      </c>
      <c r="G36" s="5" t="s">
        <v>25</v>
      </c>
      <c r="H36" s="5" t="s">
        <v>18</v>
      </c>
      <c r="I36" s="5" t="s">
        <v>92</v>
      </c>
      <c r="J36" s="5" t="s">
        <v>39</v>
      </c>
      <c r="K36" s="5" t="s">
        <v>110</v>
      </c>
      <c r="L36" s="5">
        <v>0.36</v>
      </c>
      <c r="M36" s="5" t="s">
        <v>133</v>
      </c>
      <c r="N36" s="5">
        <v>40.247700000000002</v>
      </c>
      <c r="O36" s="6">
        <v>58.33</v>
      </c>
    </row>
    <row r="37" spans="1:15" x14ac:dyDescent="0.25">
      <c r="A37" s="4" t="s">
        <v>37</v>
      </c>
      <c r="B37" s="5">
        <v>0.01</v>
      </c>
      <c r="C37" s="5">
        <v>4.91</v>
      </c>
      <c r="D37" s="5">
        <v>0.5</v>
      </c>
      <c r="E37" s="5">
        <v>117</v>
      </c>
      <c r="F37" s="5" t="s">
        <v>32</v>
      </c>
      <c r="G37" s="5" t="s">
        <v>25</v>
      </c>
      <c r="H37" s="5" t="s">
        <v>18</v>
      </c>
      <c r="I37" s="5" t="s">
        <v>92</v>
      </c>
      <c r="J37" s="5" t="s">
        <v>39</v>
      </c>
      <c r="K37" s="5" t="s">
        <v>110</v>
      </c>
      <c r="L37" s="5">
        <v>0.36</v>
      </c>
      <c r="M37" s="5" t="s">
        <v>137</v>
      </c>
      <c r="N37" s="5">
        <v>112.06</v>
      </c>
      <c r="O37" s="6">
        <v>228.46</v>
      </c>
    </row>
    <row r="38" spans="1:15" x14ac:dyDescent="0.25">
      <c r="A38" s="7" t="s">
        <v>23</v>
      </c>
      <c r="B38" s="8">
        <v>0</v>
      </c>
      <c r="C38" s="8">
        <v>3.69</v>
      </c>
      <c r="D38" s="8">
        <v>0.5</v>
      </c>
      <c r="E38" s="8">
        <v>64</v>
      </c>
      <c r="F38" s="8" t="s">
        <v>32</v>
      </c>
      <c r="G38" s="8" t="s">
        <v>38</v>
      </c>
      <c r="H38" s="8" t="s">
        <v>18</v>
      </c>
      <c r="I38" s="8" t="s">
        <v>92</v>
      </c>
      <c r="J38" s="8" t="s">
        <v>39</v>
      </c>
      <c r="K38" s="8" t="s">
        <v>93</v>
      </c>
      <c r="L38" s="8">
        <v>0.38</v>
      </c>
      <c r="M38" s="8" t="s">
        <v>94</v>
      </c>
      <c r="N38" s="8">
        <v>-37.5291</v>
      </c>
      <c r="O38" s="9">
        <v>4</v>
      </c>
    </row>
    <row r="39" spans="1:15" x14ac:dyDescent="0.25">
      <c r="A39" s="7" t="s">
        <v>15</v>
      </c>
      <c r="B39" s="8">
        <v>0.05</v>
      </c>
      <c r="C39" s="8">
        <v>6.3</v>
      </c>
      <c r="D39" s="8">
        <v>0.5</v>
      </c>
      <c r="E39" s="8">
        <v>120</v>
      </c>
      <c r="F39" s="8" t="s">
        <v>32</v>
      </c>
      <c r="G39" s="8" t="s">
        <v>17</v>
      </c>
      <c r="H39" s="8" t="s">
        <v>18</v>
      </c>
      <c r="I39" s="8" t="s">
        <v>92</v>
      </c>
      <c r="J39" s="8" t="s">
        <v>39</v>
      </c>
      <c r="K39" s="8" t="s">
        <v>138</v>
      </c>
      <c r="L39" s="8">
        <v>0.39</v>
      </c>
      <c r="M39" s="8" t="s">
        <v>139</v>
      </c>
      <c r="N39" s="8">
        <v>41.296500000000002</v>
      </c>
      <c r="O39" s="9">
        <v>59.85</v>
      </c>
    </row>
    <row r="40" spans="1:15" x14ac:dyDescent="0.25">
      <c r="A40" s="7" t="s">
        <v>37</v>
      </c>
      <c r="B40" s="8">
        <v>0.09</v>
      </c>
      <c r="C40" s="8">
        <v>2.88</v>
      </c>
      <c r="D40" s="8">
        <v>0.99</v>
      </c>
      <c r="E40" s="8">
        <v>247</v>
      </c>
      <c r="F40" s="8" t="s">
        <v>32</v>
      </c>
      <c r="G40" s="8" t="s">
        <v>17</v>
      </c>
      <c r="H40" s="8" t="s">
        <v>18</v>
      </c>
      <c r="I40" s="8" t="s">
        <v>92</v>
      </c>
      <c r="J40" s="8" t="s">
        <v>39</v>
      </c>
      <c r="K40" s="8" t="s">
        <v>231</v>
      </c>
      <c r="L40" s="8">
        <v>0.36</v>
      </c>
      <c r="M40" s="8" t="s">
        <v>230</v>
      </c>
      <c r="N40" s="8">
        <v>-145.08199999999999</v>
      </c>
      <c r="O40" s="9">
        <v>28.73</v>
      </c>
    </row>
    <row r="41" spans="1:15" x14ac:dyDescent="0.25">
      <c r="A41" s="7" t="s">
        <v>73</v>
      </c>
      <c r="B41" s="8">
        <v>0.06</v>
      </c>
      <c r="C41" s="8">
        <v>2.88</v>
      </c>
      <c r="D41" s="8">
        <v>0.99</v>
      </c>
      <c r="E41" s="8">
        <v>451</v>
      </c>
      <c r="F41" s="8" t="s">
        <v>32</v>
      </c>
      <c r="G41" s="8" t="s">
        <v>25</v>
      </c>
      <c r="H41" s="8" t="s">
        <v>18</v>
      </c>
      <c r="I41" s="8" t="s">
        <v>92</v>
      </c>
      <c r="J41" s="8" t="s">
        <v>39</v>
      </c>
      <c r="K41" s="8" t="s">
        <v>231</v>
      </c>
      <c r="L41" s="8">
        <v>0.36</v>
      </c>
      <c r="M41" s="8" t="s">
        <v>358</v>
      </c>
      <c r="N41" s="8">
        <v>16.049399999999999</v>
      </c>
      <c r="O41" s="9">
        <v>23.26</v>
      </c>
    </row>
    <row r="42" spans="1:15" x14ac:dyDescent="0.25">
      <c r="A42" s="4" t="s">
        <v>15</v>
      </c>
      <c r="B42" s="5">
        <v>0.1</v>
      </c>
      <c r="C42" s="5">
        <v>58.1</v>
      </c>
      <c r="D42" s="5">
        <v>1.49</v>
      </c>
      <c r="E42" s="5">
        <v>190</v>
      </c>
      <c r="F42" s="5" t="s">
        <v>32</v>
      </c>
      <c r="G42" s="5" t="s">
        <v>17</v>
      </c>
      <c r="H42" s="5" t="s">
        <v>18</v>
      </c>
      <c r="I42" s="5" t="s">
        <v>75</v>
      </c>
      <c r="J42" s="5" t="s">
        <v>39</v>
      </c>
      <c r="K42" s="5" t="s">
        <v>186</v>
      </c>
      <c r="L42" s="5">
        <v>0.38</v>
      </c>
      <c r="M42" s="5" t="s">
        <v>187</v>
      </c>
      <c r="N42" s="5">
        <v>113.6499</v>
      </c>
      <c r="O42" s="6">
        <v>164.71</v>
      </c>
    </row>
    <row r="43" spans="1:15" x14ac:dyDescent="0.25">
      <c r="A43" s="4" t="s">
        <v>37</v>
      </c>
      <c r="B43" s="5">
        <v>0.09</v>
      </c>
      <c r="C43" s="5">
        <v>2.88</v>
      </c>
      <c r="D43" s="5">
        <v>1.49</v>
      </c>
      <c r="E43" s="5">
        <v>102</v>
      </c>
      <c r="F43" s="5" t="s">
        <v>32</v>
      </c>
      <c r="G43" s="5" t="s">
        <v>79</v>
      </c>
      <c r="H43" s="5" t="s">
        <v>18</v>
      </c>
      <c r="I43" s="5" t="s">
        <v>75</v>
      </c>
      <c r="J43" s="5" t="s">
        <v>39</v>
      </c>
      <c r="K43" s="5" t="s">
        <v>129</v>
      </c>
      <c r="L43" s="5">
        <v>0.36</v>
      </c>
      <c r="M43" s="5" t="s">
        <v>128</v>
      </c>
      <c r="N43" s="5">
        <v>-3.3809999999999998</v>
      </c>
      <c r="O43" s="6">
        <v>47.31</v>
      </c>
    </row>
    <row r="44" spans="1:15" x14ac:dyDescent="0.25">
      <c r="A44" s="4" t="s">
        <v>37</v>
      </c>
      <c r="B44" s="5">
        <v>0.09</v>
      </c>
      <c r="C44" s="5">
        <v>2.88</v>
      </c>
      <c r="D44" s="5">
        <v>1.49</v>
      </c>
      <c r="E44" s="5">
        <v>109</v>
      </c>
      <c r="F44" s="5" t="s">
        <v>32</v>
      </c>
      <c r="G44" s="5" t="s">
        <v>79</v>
      </c>
      <c r="H44" s="5" t="s">
        <v>18</v>
      </c>
      <c r="I44" s="5" t="s">
        <v>75</v>
      </c>
      <c r="J44" s="5" t="s">
        <v>39</v>
      </c>
      <c r="K44" s="5" t="s">
        <v>129</v>
      </c>
      <c r="L44" s="5">
        <v>0.36</v>
      </c>
      <c r="M44" s="5" t="s">
        <v>131</v>
      </c>
      <c r="N44" s="5">
        <v>-2.7048000000000001</v>
      </c>
      <c r="O44" s="6">
        <v>11.13</v>
      </c>
    </row>
    <row r="45" spans="1:15" x14ac:dyDescent="0.25">
      <c r="A45" s="7" t="s">
        <v>31</v>
      </c>
      <c r="B45" s="8">
        <v>0.01</v>
      </c>
      <c r="C45" s="8">
        <v>3.26</v>
      </c>
      <c r="D45" s="8">
        <v>1.86</v>
      </c>
      <c r="E45" s="8">
        <v>342</v>
      </c>
      <c r="F45" s="8" t="s">
        <v>32</v>
      </c>
      <c r="G45" s="8" t="s">
        <v>17</v>
      </c>
      <c r="H45" s="8" t="s">
        <v>18</v>
      </c>
      <c r="I45" s="8" t="s">
        <v>19</v>
      </c>
      <c r="J45" s="8" t="s">
        <v>20</v>
      </c>
      <c r="K45" s="8" t="s">
        <v>293</v>
      </c>
      <c r="L45" s="8">
        <v>0.41</v>
      </c>
      <c r="M45" s="8" t="s">
        <v>294</v>
      </c>
      <c r="N45" s="8">
        <v>-4.6683000000000003</v>
      </c>
      <c r="O45" s="9">
        <v>73.97</v>
      </c>
    </row>
    <row r="46" spans="1:15" x14ac:dyDescent="0.25">
      <c r="A46" s="7" t="s">
        <v>31</v>
      </c>
      <c r="B46" s="8">
        <v>0.01</v>
      </c>
      <c r="C46" s="8">
        <v>3.26</v>
      </c>
      <c r="D46" s="8">
        <v>1.86</v>
      </c>
      <c r="E46" s="8">
        <v>344</v>
      </c>
      <c r="F46" s="8" t="s">
        <v>32</v>
      </c>
      <c r="G46" s="8" t="s">
        <v>17</v>
      </c>
      <c r="H46" s="8" t="s">
        <v>18</v>
      </c>
      <c r="I46" s="8" t="s">
        <v>19</v>
      </c>
      <c r="J46" s="8" t="s">
        <v>20</v>
      </c>
      <c r="K46" s="8" t="s">
        <v>293</v>
      </c>
      <c r="L46" s="8">
        <v>0.41</v>
      </c>
      <c r="M46" s="8" t="s">
        <v>297</v>
      </c>
      <c r="N46" s="8">
        <v>0.70199999999999996</v>
      </c>
      <c r="O46" s="9">
        <v>18.489999999999998</v>
      </c>
    </row>
    <row r="47" spans="1:15" x14ac:dyDescent="0.25">
      <c r="A47" s="7" t="s">
        <v>37</v>
      </c>
      <c r="B47" s="8">
        <v>0.1</v>
      </c>
      <c r="C47" s="8">
        <v>19.98</v>
      </c>
      <c r="D47" s="8">
        <v>4</v>
      </c>
      <c r="E47" s="8">
        <v>101</v>
      </c>
      <c r="F47" s="8" t="s">
        <v>32</v>
      </c>
      <c r="G47" s="8" t="s">
        <v>79</v>
      </c>
      <c r="H47" s="8" t="s">
        <v>52</v>
      </c>
      <c r="I47" s="8" t="s">
        <v>121</v>
      </c>
      <c r="J47" s="8" t="s">
        <v>39</v>
      </c>
      <c r="K47" s="8" t="s">
        <v>124</v>
      </c>
      <c r="L47" s="8">
        <v>0.68</v>
      </c>
      <c r="M47" s="8" t="s">
        <v>125</v>
      </c>
      <c r="N47" s="8">
        <v>-16.2</v>
      </c>
      <c r="O47" s="9">
        <v>303.58999999999997</v>
      </c>
    </row>
    <row r="48" spans="1:15" x14ac:dyDescent="0.25">
      <c r="A48" s="7" t="s">
        <v>37</v>
      </c>
      <c r="B48" s="8">
        <v>0.1</v>
      </c>
      <c r="C48" s="8">
        <v>19.98</v>
      </c>
      <c r="D48" s="8">
        <v>4</v>
      </c>
      <c r="E48" s="8">
        <v>102</v>
      </c>
      <c r="F48" s="8" t="s">
        <v>32</v>
      </c>
      <c r="G48" s="8" t="s">
        <v>79</v>
      </c>
      <c r="H48" s="8" t="s">
        <v>52</v>
      </c>
      <c r="I48" s="8" t="s">
        <v>121</v>
      </c>
      <c r="J48" s="8" t="s">
        <v>39</v>
      </c>
      <c r="K48" s="8" t="s">
        <v>124</v>
      </c>
      <c r="L48" s="8">
        <v>0.68</v>
      </c>
      <c r="M48" s="8" t="s">
        <v>128</v>
      </c>
      <c r="N48" s="8">
        <v>-20.25</v>
      </c>
      <c r="O48" s="9">
        <v>1233.32</v>
      </c>
    </row>
    <row r="49" spans="1:15" x14ac:dyDescent="0.25">
      <c r="A49" s="7" t="s">
        <v>37</v>
      </c>
      <c r="B49" s="8">
        <v>0.01</v>
      </c>
      <c r="C49" s="8">
        <v>19.98</v>
      </c>
      <c r="D49" s="8">
        <v>4</v>
      </c>
      <c r="E49" s="8">
        <v>315</v>
      </c>
      <c r="F49" s="8" t="s">
        <v>32</v>
      </c>
      <c r="G49" s="8" t="s">
        <v>17</v>
      </c>
      <c r="H49" s="8" t="s">
        <v>52</v>
      </c>
      <c r="I49" s="8" t="s">
        <v>121</v>
      </c>
      <c r="J49" s="8" t="s">
        <v>39</v>
      </c>
      <c r="K49" s="8" t="s">
        <v>124</v>
      </c>
      <c r="L49" s="8">
        <v>0.68</v>
      </c>
      <c r="M49" s="8" t="s">
        <v>277</v>
      </c>
      <c r="N49" s="8">
        <v>-72.23</v>
      </c>
      <c r="O49" s="9">
        <v>43.08</v>
      </c>
    </row>
    <row r="50" spans="1:15" x14ac:dyDescent="0.25">
      <c r="A50" s="4" t="s">
        <v>23</v>
      </c>
      <c r="B50" s="5">
        <v>0.01</v>
      </c>
      <c r="C50" s="5">
        <v>17.98</v>
      </c>
      <c r="D50" s="5">
        <v>4</v>
      </c>
      <c r="E50" s="5">
        <v>94</v>
      </c>
      <c r="F50" s="5" t="s">
        <v>32</v>
      </c>
      <c r="G50" s="5" t="s">
        <v>25</v>
      </c>
      <c r="H50" s="5" t="s">
        <v>52</v>
      </c>
      <c r="I50" s="5" t="s">
        <v>121</v>
      </c>
      <c r="J50" s="5" t="s">
        <v>39</v>
      </c>
      <c r="K50" s="5" t="s">
        <v>122</v>
      </c>
      <c r="L50" s="5">
        <v>0.79</v>
      </c>
      <c r="M50" s="5" t="s">
        <v>120</v>
      </c>
      <c r="N50" s="5">
        <v>-87.96</v>
      </c>
      <c r="O50" s="6">
        <v>2664.4</v>
      </c>
    </row>
    <row r="51" spans="1:15" x14ac:dyDescent="0.25">
      <c r="A51" s="7" t="s">
        <v>15</v>
      </c>
      <c r="B51" s="8">
        <v>0.03</v>
      </c>
      <c r="C51" s="8">
        <v>10.89</v>
      </c>
      <c r="D51" s="8">
        <v>4.5</v>
      </c>
      <c r="E51" s="8">
        <v>156</v>
      </c>
      <c r="F51" s="8" t="s">
        <v>32</v>
      </c>
      <c r="G51" s="8" t="s">
        <v>17</v>
      </c>
      <c r="H51" s="8" t="s">
        <v>18</v>
      </c>
      <c r="I51" s="8" t="s">
        <v>168</v>
      </c>
      <c r="J51" s="8" t="s">
        <v>39</v>
      </c>
      <c r="K51" s="8" t="s">
        <v>169</v>
      </c>
      <c r="L51" s="8">
        <v>0.59</v>
      </c>
      <c r="M51" s="8" t="s">
        <v>167</v>
      </c>
      <c r="N51" s="8">
        <v>-18.64</v>
      </c>
      <c r="O51" s="9">
        <v>33.82</v>
      </c>
    </row>
    <row r="52" spans="1:15" x14ac:dyDescent="0.25">
      <c r="A52" s="4" t="s">
        <v>23</v>
      </c>
      <c r="B52" s="5">
        <v>0.06</v>
      </c>
      <c r="C52" s="5">
        <v>7.99</v>
      </c>
      <c r="D52" s="5">
        <v>5.03</v>
      </c>
      <c r="E52" s="5">
        <v>326</v>
      </c>
      <c r="F52" s="5" t="s">
        <v>32</v>
      </c>
      <c r="G52" s="5" t="s">
        <v>79</v>
      </c>
      <c r="H52" s="5" t="s">
        <v>52</v>
      </c>
      <c r="I52" s="5" t="s">
        <v>53</v>
      </c>
      <c r="J52" s="5" t="s">
        <v>58</v>
      </c>
      <c r="K52" s="5" t="s">
        <v>282</v>
      </c>
      <c r="L52" s="5">
        <v>0.6</v>
      </c>
      <c r="M52" s="5" t="s">
        <v>283</v>
      </c>
      <c r="N52" s="5">
        <v>-29.172000000000001</v>
      </c>
      <c r="O52" s="6">
        <v>28.46</v>
      </c>
    </row>
    <row r="53" spans="1:15" x14ac:dyDescent="0.25">
      <c r="A53" s="4" t="s">
        <v>31</v>
      </c>
      <c r="B53" s="5">
        <v>7.0000000000000007E-2</v>
      </c>
      <c r="C53" s="5">
        <v>124.49</v>
      </c>
      <c r="D53" s="5">
        <v>51.94</v>
      </c>
      <c r="E53" s="5">
        <v>357</v>
      </c>
      <c r="F53" s="5" t="s">
        <v>24</v>
      </c>
      <c r="G53" s="5" t="s">
        <v>17</v>
      </c>
      <c r="H53" s="5" t="s">
        <v>26</v>
      </c>
      <c r="I53" s="5" t="s">
        <v>102</v>
      </c>
      <c r="J53" s="5" t="s">
        <v>83</v>
      </c>
      <c r="K53" s="5" t="s">
        <v>303</v>
      </c>
      <c r="L53" s="5">
        <v>0.63</v>
      </c>
      <c r="M53" s="5" t="s">
        <v>304</v>
      </c>
      <c r="N53" s="5">
        <v>1074.44</v>
      </c>
      <c r="O53" s="6">
        <v>1714.93</v>
      </c>
    </row>
    <row r="54" spans="1:15" x14ac:dyDescent="0.25">
      <c r="A54" s="4" t="s">
        <v>37</v>
      </c>
      <c r="B54" s="5">
        <v>0.06</v>
      </c>
      <c r="C54" s="5">
        <v>259.70999999999998</v>
      </c>
      <c r="D54" s="5">
        <v>66.67</v>
      </c>
      <c r="E54" s="5">
        <v>241</v>
      </c>
      <c r="F54" s="5" t="s">
        <v>24</v>
      </c>
      <c r="G54" s="5" t="s">
        <v>38</v>
      </c>
      <c r="H54" s="5" t="s">
        <v>26</v>
      </c>
      <c r="I54" s="5" t="s">
        <v>102</v>
      </c>
      <c r="J54" s="5" t="s">
        <v>83</v>
      </c>
      <c r="K54" s="5" t="s">
        <v>225</v>
      </c>
      <c r="L54" s="5">
        <v>0.61</v>
      </c>
      <c r="M54" s="5" t="s">
        <v>226</v>
      </c>
      <c r="N54" s="5">
        <v>785.63</v>
      </c>
      <c r="O54" s="6">
        <v>2809.87</v>
      </c>
    </row>
    <row r="55" spans="1:15" x14ac:dyDescent="0.25">
      <c r="A55" s="7" t="s">
        <v>73</v>
      </c>
      <c r="B55" s="8">
        <v>7.0000000000000007E-2</v>
      </c>
      <c r="C55" s="8">
        <v>29.17</v>
      </c>
      <c r="D55" s="8">
        <v>6.27</v>
      </c>
      <c r="E55" s="8">
        <v>408</v>
      </c>
      <c r="F55" s="8" t="s">
        <v>32</v>
      </c>
      <c r="G55" s="8" t="s">
        <v>17</v>
      </c>
      <c r="H55" s="8" t="s">
        <v>18</v>
      </c>
      <c r="I55" s="8" t="s">
        <v>75</v>
      </c>
      <c r="J55" s="8" t="s">
        <v>39</v>
      </c>
      <c r="K55" s="8" t="s">
        <v>341</v>
      </c>
      <c r="L55" s="8">
        <v>0.37</v>
      </c>
      <c r="M55" s="8" t="s">
        <v>342</v>
      </c>
      <c r="N55" s="8">
        <v>236.2371</v>
      </c>
      <c r="O55" s="9">
        <v>400.47</v>
      </c>
    </row>
    <row r="56" spans="1:15" x14ac:dyDescent="0.25">
      <c r="A56" s="7" t="s">
        <v>37</v>
      </c>
      <c r="B56" s="8">
        <v>0.02</v>
      </c>
      <c r="C56" s="8">
        <v>146.05000000000001</v>
      </c>
      <c r="D56" s="8">
        <v>80.2</v>
      </c>
      <c r="E56" s="8">
        <v>247</v>
      </c>
      <c r="F56" s="8" t="s">
        <v>24</v>
      </c>
      <c r="G56" s="8" t="s">
        <v>17</v>
      </c>
      <c r="H56" s="8" t="s">
        <v>26</v>
      </c>
      <c r="I56" s="8" t="s">
        <v>102</v>
      </c>
      <c r="J56" s="8" t="s">
        <v>83</v>
      </c>
      <c r="K56" s="8" t="s">
        <v>229</v>
      </c>
      <c r="L56" s="8">
        <v>0.71</v>
      </c>
      <c r="M56" s="8" t="s">
        <v>230</v>
      </c>
      <c r="N56" s="8">
        <v>-101.19199999999999</v>
      </c>
      <c r="O56" s="9">
        <v>798.69</v>
      </c>
    </row>
    <row r="57" spans="1:15" x14ac:dyDescent="0.25">
      <c r="A57" s="7" t="s">
        <v>31</v>
      </c>
      <c r="B57" s="8">
        <v>0.04</v>
      </c>
      <c r="C57" s="8">
        <v>1.98</v>
      </c>
      <c r="D57" s="8">
        <v>0.7</v>
      </c>
      <c r="E57" s="8">
        <v>276</v>
      </c>
      <c r="F57" s="8" t="s">
        <v>16</v>
      </c>
      <c r="G57" s="8" t="s">
        <v>17</v>
      </c>
      <c r="H57" s="8" t="s">
        <v>18</v>
      </c>
      <c r="I57" s="8" t="s">
        <v>44</v>
      </c>
      <c r="J57" s="8" t="s">
        <v>20</v>
      </c>
      <c r="K57" s="8" t="s">
        <v>260</v>
      </c>
      <c r="L57" s="8">
        <v>0.83</v>
      </c>
      <c r="M57" s="8" t="s">
        <v>261</v>
      </c>
      <c r="N57" s="8">
        <v>-1</v>
      </c>
      <c r="O57" s="9">
        <v>8.3000000000000007</v>
      </c>
    </row>
    <row r="58" spans="1:15" x14ac:dyDescent="0.25">
      <c r="A58" s="4" t="s">
        <v>37</v>
      </c>
      <c r="B58" s="5">
        <v>0.05</v>
      </c>
      <c r="C58" s="5">
        <v>100.98</v>
      </c>
      <c r="D58" s="5">
        <v>35.840000000000003</v>
      </c>
      <c r="E58" s="5">
        <v>164</v>
      </c>
      <c r="F58" s="5" t="s">
        <v>24</v>
      </c>
      <c r="G58" s="5" t="s">
        <v>25</v>
      </c>
      <c r="H58" s="5" t="s">
        <v>26</v>
      </c>
      <c r="I58" s="5" t="s">
        <v>126</v>
      </c>
      <c r="J58" s="5" t="s">
        <v>83</v>
      </c>
      <c r="K58" s="5" t="s">
        <v>170</v>
      </c>
      <c r="L58" s="5">
        <v>0.62</v>
      </c>
      <c r="M58" s="5" t="s">
        <v>171</v>
      </c>
      <c r="N58" s="5">
        <v>-111.4</v>
      </c>
      <c r="O58" s="6">
        <v>715.55</v>
      </c>
    </row>
    <row r="59" spans="1:15" x14ac:dyDescent="0.25">
      <c r="A59" s="4" t="s">
        <v>15</v>
      </c>
      <c r="B59" s="5">
        <v>0.01</v>
      </c>
      <c r="C59" s="5">
        <v>17.98</v>
      </c>
      <c r="D59" s="5">
        <v>8.51</v>
      </c>
      <c r="E59" s="5">
        <v>32</v>
      </c>
      <c r="F59" s="5" t="s">
        <v>32</v>
      </c>
      <c r="G59" s="5" t="s">
        <v>17</v>
      </c>
      <c r="H59" s="5" t="s">
        <v>52</v>
      </c>
      <c r="I59" s="5" t="s">
        <v>57</v>
      </c>
      <c r="J59" s="5" t="s">
        <v>58</v>
      </c>
      <c r="K59" s="5" t="s">
        <v>71</v>
      </c>
      <c r="L59" s="5">
        <v>0.4</v>
      </c>
      <c r="M59" s="5" t="s">
        <v>70</v>
      </c>
      <c r="N59" s="5">
        <v>-35.878799999999998</v>
      </c>
      <c r="O59" s="6">
        <v>40.17</v>
      </c>
    </row>
    <row r="60" spans="1:15" x14ac:dyDescent="0.25">
      <c r="A60" s="7" t="s">
        <v>15</v>
      </c>
      <c r="B60" s="8">
        <v>0.05</v>
      </c>
      <c r="C60" s="8">
        <v>26.48</v>
      </c>
      <c r="D60" s="8">
        <v>6.93</v>
      </c>
      <c r="E60" s="8">
        <v>18</v>
      </c>
      <c r="F60" s="8" t="s">
        <v>32</v>
      </c>
      <c r="G60" s="8" t="s">
        <v>38</v>
      </c>
      <c r="H60" s="8" t="s">
        <v>26</v>
      </c>
      <c r="I60" s="8" t="s">
        <v>33</v>
      </c>
      <c r="J60" s="8" t="s">
        <v>39</v>
      </c>
      <c r="K60" s="8" t="s">
        <v>55</v>
      </c>
      <c r="L60" s="8">
        <v>0.49</v>
      </c>
      <c r="M60" s="8" t="s">
        <v>56</v>
      </c>
      <c r="N60" s="8">
        <v>314.48129999999998</v>
      </c>
      <c r="O60" s="9">
        <v>455.77</v>
      </c>
    </row>
    <row r="61" spans="1:15" x14ac:dyDescent="0.25">
      <c r="A61" s="7" t="s">
        <v>15</v>
      </c>
      <c r="B61" s="8">
        <v>0.05</v>
      </c>
      <c r="C61" s="8">
        <v>26.48</v>
      </c>
      <c r="D61" s="8">
        <v>6.93</v>
      </c>
      <c r="E61" s="8">
        <v>21</v>
      </c>
      <c r="F61" s="8" t="s">
        <v>32</v>
      </c>
      <c r="G61" s="8" t="s">
        <v>38</v>
      </c>
      <c r="H61" s="8" t="s">
        <v>26</v>
      </c>
      <c r="I61" s="8" t="s">
        <v>33</v>
      </c>
      <c r="J61" s="8" t="s">
        <v>39</v>
      </c>
      <c r="K61" s="8" t="s">
        <v>55</v>
      </c>
      <c r="L61" s="8">
        <v>0.49</v>
      </c>
      <c r="M61" s="8" t="s">
        <v>61</v>
      </c>
      <c r="N61" s="8">
        <v>384.38</v>
      </c>
      <c r="O61" s="9">
        <v>1876.69</v>
      </c>
    </row>
    <row r="62" spans="1:15" x14ac:dyDescent="0.25">
      <c r="A62" s="4" t="s">
        <v>31</v>
      </c>
      <c r="B62" s="5">
        <v>0.06</v>
      </c>
      <c r="C62" s="5">
        <v>9.48</v>
      </c>
      <c r="D62" s="5">
        <v>7.29</v>
      </c>
      <c r="E62" s="5">
        <v>11</v>
      </c>
      <c r="F62" s="5" t="s">
        <v>32</v>
      </c>
      <c r="G62" s="5" t="s">
        <v>25</v>
      </c>
      <c r="H62" s="5" t="s">
        <v>26</v>
      </c>
      <c r="I62" s="5" t="s">
        <v>33</v>
      </c>
      <c r="J62" s="5" t="s">
        <v>34</v>
      </c>
      <c r="K62" s="5" t="s">
        <v>35</v>
      </c>
      <c r="L62" s="5">
        <v>0.45</v>
      </c>
      <c r="M62" s="5" t="s">
        <v>36</v>
      </c>
      <c r="N62" s="5">
        <v>-53.809600000000003</v>
      </c>
      <c r="O62" s="6">
        <v>211.15</v>
      </c>
    </row>
    <row r="63" spans="1:15" x14ac:dyDescent="0.25">
      <c r="A63" s="4" t="s">
        <v>23</v>
      </c>
      <c r="B63" s="5">
        <v>0.04</v>
      </c>
      <c r="C63" s="5">
        <v>15.42</v>
      </c>
      <c r="D63" s="5">
        <v>10.68</v>
      </c>
      <c r="E63" s="5">
        <v>317</v>
      </c>
      <c r="F63" s="5" t="s">
        <v>32</v>
      </c>
      <c r="G63" s="5" t="s">
        <v>17</v>
      </c>
      <c r="H63" s="5" t="s">
        <v>18</v>
      </c>
      <c r="I63" s="5" t="s">
        <v>95</v>
      </c>
      <c r="J63" s="5" t="s">
        <v>39</v>
      </c>
      <c r="K63" s="5" t="s">
        <v>280</v>
      </c>
      <c r="L63" s="5">
        <v>0.57999999999999996</v>
      </c>
      <c r="M63" s="5" t="s">
        <v>279</v>
      </c>
      <c r="N63" s="5">
        <v>-119.93600000000001</v>
      </c>
      <c r="O63" s="6">
        <v>192.18</v>
      </c>
    </row>
    <row r="64" spans="1:15" x14ac:dyDescent="0.25">
      <c r="A64" s="4" t="s">
        <v>23</v>
      </c>
      <c r="B64" s="5">
        <v>7.0000000000000007E-2</v>
      </c>
      <c r="C64" s="5">
        <v>415.88</v>
      </c>
      <c r="D64" s="5">
        <v>11.37</v>
      </c>
      <c r="E64" s="5">
        <v>381</v>
      </c>
      <c r="F64" s="5" t="s">
        <v>32</v>
      </c>
      <c r="G64" s="5" t="s">
        <v>17</v>
      </c>
      <c r="H64" s="5" t="s">
        <v>18</v>
      </c>
      <c r="I64" s="5" t="s">
        <v>95</v>
      </c>
      <c r="J64" s="5" t="s">
        <v>39</v>
      </c>
      <c r="K64" s="5" t="s">
        <v>318</v>
      </c>
      <c r="L64" s="5">
        <v>0.56999999999999995</v>
      </c>
      <c r="M64" s="5" t="s">
        <v>319</v>
      </c>
      <c r="N64" s="5">
        <v>-539.59</v>
      </c>
      <c r="O64" s="6">
        <v>394.51</v>
      </c>
    </row>
    <row r="65" spans="1:15" x14ac:dyDescent="0.25">
      <c r="A65" s="4" t="s">
        <v>31</v>
      </c>
      <c r="B65" s="5">
        <v>0.02</v>
      </c>
      <c r="C65" s="5">
        <v>2.58</v>
      </c>
      <c r="D65" s="5">
        <v>1.3</v>
      </c>
      <c r="E65" s="5">
        <v>250</v>
      </c>
      <c r="F65" s="5" t="s">
        <v>16</v>
      </c>
      <c r="G65" s="5" t="s">
        <v>17</v>
      </c>
      <c r="H65" s="5" t="s">
        <v>18</v>
      </c>
      <c r="I65" s="5" t="s">
        <v>19</v>
      </c>
      <c r="J65" s="5" t="s">
        <v>20</v>
      </c>
      <c r="K65" s="5" t="s">
        <v>232</v>
      </c>
      <c r="L65" s="5">
        <v>0.59</v>
      </c>
      <c r="M65" s="5" t="s">
        <v>233</v>
      </c>
      <c r="N65" s="5">
        <v>1.1080000000000001</v>
      </c>
      <c r="O65" s="6">
        <v>109.74</v>
      </c>
    </row>
    <row r="66" spans="1:15" x14ac:dyDescent="0.25">
      <c r="A66" s="7" t="s">
        <v>15</v>
      </c>
      <c r="B66" s="8">
        <v>0.03</v>
      </c>
      <c r="C66" s="8">
        <v>4.26</v>
      </c>
      <c r="D66" s="8">
        <v>1.2</v>
      </c>
      <c r="E66" s="8">
        <v>114</v>
      </c>
      <c r="F66" s="8" t="s">
        <v>32</v>
      </c>
      <c r="G66" s="8" t="s">
        <v>25</v>
      </c>
      <c r="H66" s="8" t="s">
        <v>18</v>
      </c>
      <c r="I66" s="8" t="s">
        <v>19</v>
      </c>
      <c r="J66" s="8" t="s">
        <v>20</v>
      </c>
      <c r="K66" s="8" t="s">
        <v>132</v>
      </c>
      <c r="L66" s="8">
        <v>0.44</v>
      </c>
      <c r="M66" s="8" t="s">
        <v>133</v>
      </c>
      <c r="N66" s="8">
        <v>18.658000000000001</v>
      </c>
      <c r="O66" s="9">
        <v>29.5</v>
      </c>
    </row>
    <row r="67" spans="1:15" x14ac:dyDescent="0.25">
      <c r="A67" s="7" t="s">
        <v>15</v>
      </c>
      <c r="B67" s="8">
        <v>0.03</v>
      </c>
      <c r="C67" s="8">
        <v>4.26</v>
      </c>
      <c r="D67" s="8">
        <v>1.2</v>
      </c>
      <c r="E67" s="8">
        <v>117</v>
      </c>
      <c r="F67" s="8" t="s">
        <v>32</v>
      </c>
      <c r="G67" s="8" t="s">
        <v>25</v>
      </c>
      <c r="H67" s="8" t="s">
        <v>18</v>
      </c>
      <c r="I67" s="8" t="s">
        <v>19</v>
      </c>
      <c r="J67" s="8" t="s">
        <v>20</v>
      </c>
      <c r="K67" s="8" t="s">
        <v>132</v>
      </c>
      <c r="L67" s="8">
        <v>0.44</v>
      </c>
      <c r="M67" s="8" t="s">
        <v>137</v>
      </c>
      <c r="N67" s="8">
        <v>9.82</v>
      </c>
      <c r="O67" s="9">
        <v>122.23</v>
      </c>
    </row>
    <row r="68" spans="1:15" x14ac:dyDescent="0.25">
      <c r="A68" s="7" t="s">
        <v>73</v>
      </c>
      <c r="B68" s="8">
        <v>0.05</v>
      </c>
      <c r="C68" s="8">
        <v>155.06</v>
      </c>
      <c r="D68" s="8">
        <v>7.07</v>
      </c>
      <c r="E68" s="8">
        <v>67</v>
      </c>
      <c r="F68" s="8" t="s">
        <v>32</v>
      </c>
      <c r="G68" s="8" t="s">
        <v>17</v>
      </c>
      <c r="H68" s="8" t="s">
        <v>18</v>
      </c>
      <c r="I68" s="8" t="s">
        <v>95</v>
      </c>
      <c r="J68" s="8" t="s">
        <v>39</v>
      </c>
      <c r="K68" s="8" t="s">
        <v>96</v>
      </c>
      <c r="L68" s="8">
        <v>0.59</v>
      </c>
      <c r="M68" s="8" t="s">
        <v>97</v>
      </c>
      <c r="N68" s="8">
        <v>845.66399999999999</v>
      </c>
      <c r="O68" s="9">
        <v>1225.5999999999999</v>
      </c>
    </row>
    <row r="69" spans="1:15" x14ac:dyDescent="0.25">
      <c r="A69" s="4" t="s">
        <v>73</v>
      </c>
      <c r="B69" s="5">
        <v>0.05</v>
      </c>
      <c r="C69" s="5">
        <v>155.06</v>
      </c>
      <c r="D69" s="5">
        <v>7.07</v>
      </c>
      <c r="E69" s="5">
        <v>68</v>
      </c>
      <c r="F69" s="5" t="s">
        <v>32</v>
      </c>
      <c r="G69" s="5" t="s">
        <v>17</v>
      </c>
      <c r="H69" s="5" t="s">
        <v>18</v>
      </c>
      <c r="I69" s="5" t="s">
        <v>95</v>
      </c>
      <c r="J69" s="5" t="s">
        <v>39</v>
      </c>
      <c r="K69" s="5" t="s">
        <v>96</v>
      </c>
      <c r="L69" s="5">
        <v>0.59</v>
      </c>
      <c r="M69" s="5" t="s">
        <v>61</v>
      </c>
      <c r="N69" s="5">
        <v>575.39599999999996</v>
      </c>
      <c r="O69" s="6">
        <v>4902.38</v>
      </c>
    </row>
    <row r="70" spans="1:15" x14ac:dyDescent="0.25">
      <c r="A70" s="7" t="s">
        <v>37</v>
      </c>
      <c r="B70" s="8">
        <v>0.06</v>
      </c>
      <c r="C70" s="8">
        <v>3.8</v>
      </c>
      <c r="D70" s="8">
        <v>1.49</v>
      </c>
      <c r="E70" s="8">
        <v>56</v>
      </c>
      <c r="F70" s="8" t="s">
        <v>32</v>
      </c>
      <c r="G70" s="8" t="s">
        <v>79</v>
      </c>
      <c r="H70" s="8" t="s">
        <v>18</v>
      </c>
      <c r="I70" s="8" t="s">
        <v>75</v>
      </c>
      <c r="J70" s="8" t="s">
        <v>39</v>
      </c>
      <c r="K70" s="8" t="s">
        <v>86</v>
      </c>
      <c r="L70" s="8">
        <v>0.38</v>
      </c>
      <c r="M70" s="8" t="s">
        <v>87</v>
      </c>
      <c r="N70" s="8">
        <v>19.6282</v>
      </c>
      <c r="O70" s="9">
        <v>73.55</v>
      </c>
    </row>
    <row r="71" spans="1:15" x14ac:dyDescent="0.25">
      <c r="A71" s="4" t="s">
        <v>23</v>
      </c>
      <c r="B71" s="5">
        <v>0.05</v>
      </c>
      <c r="C71" s="5">
        <v>3.8</v>
      </c>
      <c r="D71" s="5">
        <v>1.49</v>
      </c>
      <c r="E71" s="5">
        <v>191</v>
      </c>
      <c r="F71" s="5" t="s">
        <v>32</v>
      </c>
      <c r="G71" s="5" t="s">
        <v>17</v>
      </c>
      <c r="H71" s="5" t="s">
        <v>18</v>
      </c>
      <c r="I71" s="5" t="s">
        <v>75</v>
      </c>
      <c r="J71" s="5" t="s">
        <v>39</v>
      </c>
      <c r="K71" s="5" t="s">
        <v>86</v>
      </c>
      <c r="L71" s="5">
        <v>0.38</v>
      </c>
      <c r="M71" s="5" t="s">
        <v>189</v>
      </c>
      <c r="N71" s="5">
        <v>14.467000000000001</v>
      </c>
      <c r="O71" s="6">
        <v>53.26</v>
      </c>
    </row>
    <row r="72" spans="1:15" x14ac:dyDescent="0.25">
      <c r="A72" s="7" t="s">
        <v>73</v>
      </c>
      <c r="B72" s="8">
        <v>7.0000000000000007E-2</v>
      </c>
      <c r="C72" s="8">
        <v>165.2</v>
      </c>
      <c r="D72" s="8">
        <v>19.989999999999998</v>
      </c>
      <c r="E72" s="8">
        <v>463</v>
      </c>
      <c r="F72" s="8" t="s">
        <v>32</v>
      </c>
      <c r="G72" s="8" t="s">
        <v>38</v>
      </c>
      <c r="H72" s="8" t="s">
        <v>18</v>
      </c>
      <c r="I72" s="8" t="s">
        <v>95</v>
      </c>
      <c r="J72" s="8" t="s">
        <v>39</v>
      </c>
      <c r="K72" s="8" t="s">
        <v>365</v>
      </c>
      <c r="L72" s="8">
        <v>0.59</v>
      </c>
      <c r="M72" s="8" t="s">
        <v>366</v>
      </c>
      <c r="N72" s="8">
        <v>521.69000000000005</v>
      </c>
      <c r="O72" s="9">
        <v>1081.54</v>
      </c>
    </row>
    <row r="73" spans="1:15" x14ac:dyDescent="0.25">
      <c r="A73" s="7" t="s">
        <v>37</v>
      </c>
      <c r="B73" s="8">
        <v>0.09</v>
      </c>
      <c r="C73" s="8">
        <v>4</v>
      </c>
      <c r="D73" s="8">
        <v>1.3</v>
      </c>
      <c r="E73" s="8">
        <v>114</v>
      </c>
      <c r="F73" s="8" t="s">
        <v>16</v>
      </c>
      <c r="G73" s="8" t="s">
        <v>25</v>
      </c>
      <c r="H73" s="8" t="s">
        <v>18</v>
      </c>
      <c r="I73" s="8" t="s">
        <v>63</v>
      </c>
      <c r="J73" s="8" t="s">
        <v>20</v>
      </c>
      <c r="K73" s="8" t="s">
        <v>134</v>
      </c>
      <c r="L73" s="8">
        <v>0.37</v>
      </c>
      <c r="M73" s="8" t="s">
        <v>133</v>
      </c>
      <c r="N73" s="8">
        <v>14.0898</v>
      </c>
      <c r="O73" s="9">
        <v>20.420000000000002</v>
      </c>
    </row>
    <row r="74" spans="1:15" x14ac:dyDescent="0.25">
      <c r="A74" s="7" t="s">
        <v>37</v>
      </c>
      <c r="B74" s="8">
        <v>0.09</v>
      </c>
      <c r="C74" s="8">
        <v>4</v>
      </c>
      <c r="D74" s="8">
        <v>1.3</v>
      </c>
      <c r="E74" s="8">
        <v>117</v>
      </c>
      <c r="F74" s="8" t="s">
        <v>16</v>
      </c>
      <c r="G74" s="8" t="s">
        <v>25</v>
      </c>
      <c r="H74" s="8" t="s">
        <v>18</v>
      </c>
      <c r="I74" s="8" t="s">
        <v>63</v>
      </c>
      <c r="J74" s="8" t="s">
        <v>20</v>
      </c>
      <c r="K74" s="8" t="s">
        <v>134</v>
      </c>
      <c r="L74" s="8">
        <v>0.37</v>
      </c>
      <c r="M74" s="8" t="s">
        <v>137</v>
      </c>
      <c r="N74" s="8">
        <v>16.79</v>
      </c>
      <c r="O74" s="9">
        <v>77.61</v>
      </c>
    </row>
    <row r="75" spans="1:15" x14ac:dyDescent="0.25">
      <c r="A75" s="7" t="s">
        <v>73</v>
      </c>
      <c r="B75" s="8">
        <v>0.01</v>
      </c>
      <c r="C75" s="8">
        <v>79.52</v>
      </c>
      <c r="D75" s="8">
        <v>48.2</v>
      </c>
      <c r="E75" s="8">
        <v>152</v>
      </c>
      <c r="F75" s="8" t="s">
        <v>32</v>
      </c>
      <c r="G75" s="8" t="s">
        <v>25</v>
      </c>
      <c r="H75" s="8" t="s">
        <v>26</v>
      </c>
      <c r="I75" s="8" t="s">
        <v>33</v>
      </c>
      <c r="J75" s="8" t="s">
        <v>58</v>
      </c>
      <c r="K75" s="8" t="s">
        <v>163</v>
      </c>
      <c r="L75" s="8">
        <v>0.74</v>
      </c>
      <c r="M75" s="8" t="s">
        <v>162</v>
      </c>
      <c r="N75" s="8">
        <v>-40.683999999999997</v>
      </c>
      <c r="O75" s="9">
        <v>667.84</v>
      </c>
    </row>
    <row r="76" spans="1:15" x14ac:dyDescent="0.25">
      <c r="A76" s="7" t="s">
        <v>73</v>
      </c>
      <c r="B76" s="8">
        <v>0.03</v>
      </c>
      <c r="C76" s="8">
        <v>40.89</v>
      </c>
      <c r="D76" s="8">
        <v>18.98</v>
      </c>
      <c r="E76" s="8">
        <v>268</v>
      </c>
      <c r="F76" s="8" t="s">
        <v>32</v>
      </c>
      <c r="G76" s="8" t="s">
        <v>25</v>
      </c>
      <c r="H76" s="8" t="s">
        <v>26</v>
      </c>
      <c r="I76" s="8" t="s">
        <v>33</v>
      </c>
      <c r="J76" s="8" t="s">
        <v>39</v>
      </c>
      <c r="K76" s="8" t="s">
        <v>251</v>
      </c>
      <c r="L76" s="8">
        <v>0.56999999999999995</v>
      </c>
      <c r="M76" s="8" t="s">
        <v>250</v>
      </c>
      <c r="N76" s="8">
        <v>78.98</v>
      </c>
      <c r="O76" s="9">
        <v>210.77</v>
      </c>
    </row>
    <row r="77" spans="1:15" x14ac:dyDescent="0.25">
      <c r="A77" s="7" t="s">
        <v>73</v>
      </c>
      <c r="B77" s="8">
        <v>0.03</v>
      </c>
      <c r="C77" s="8">
        <v>40.89</v>
      </c>
      <c r="D77" s="8">
        <v>18.98</v>
      </c>
      <c r="E77" s="8">
        <v>272</v>
      </c>
      <c r="F77" s="8" t="s">
        <v>32</v>
      </c>
      <c r="G77" s="8" t="s">
        <v>25</v>
      </c>
      <c r="H77" s="8" t="s">
        <v>26</v>
      </c>
      <c r="I77" s="8" t="s">
        <v>33</v>
      </c>
      <c r="J77" s="8" t="s">
        <v>39</v>
      </c>
      <c r="K77" s="8" t="s">
        <v>251</v>
      </c>
      <c r="L77" s="8">
        <v>0.56999999999999995</v>
      </c>
      <c r="M77" s="8" t="s">
        <v>257</v>
      </c>
      <c r="N77" s="8">
        <v>52.916600000000003</v>
      </c>
      <c r="O77" s="9">
        <v>885.23</v>
      </c>
    </row>
    <row r="78" spans="1:15" x14ac:dyDescent="0.25">
      <c r="A78" s="7" t="s">
        <v>37</v>
      </c>
      <c r="B78" s="8">
        <v>0.04</v>
      </c>
      <c r="C78" s="8">
        <v>9.65</v>
      </c>
      <c r="D78" s="8">
        <v>6.22</v>
      </c>
      <c r="E78" s="8">
        <v>233</v>
      </c>
      <c r="F78" s="8" t="s">
        <v>32</v>
      </c>
      <c r="G78" s="8" t="s">
        <v>38</v>
      </c>
      <c r="H78" s="8" t="s">
        <v>26</v>
      </c>
      <c r="I78" s="8" t="s">
        <v>33</v>
      </c>
      <c r="J78" s="8" t="s">
        <v>39</v>
      </c>
      <c r="K78" s="8" t="s">
        <v>215</v>
      </c>
      <c r="L78" s="8">
        <v>0.55000000000000004</v>
      </c>
      <c r="M78" s="8" t="s">
        <v>214</v>
      </c>
      <c r="N78" s="8">
        <v>-53.62</v>
      </c>
      <c r="O78" s="9">
        <v>120.47</v>
      </c>
    </row>
    <row r="79" spans="1:15" x14ac:dyDescent="0.25">
      <c r="A79" s="4" t="s">
        <v>23</v>
      </c>
      <c r="B79" s="5">
        <v>0.04</v>
      </c>
      <c r="C79" s="5">
        <v>4.1399999999999997</v>
      </c>
      <c r="D79" s="5">
        <v>6.6</v>
      </c>
      <c r="E79" s="5">
        <v>27</v>
      </c>
      <c r="F79" s="5" t="s">
        <v>32</v>
      </c>
      <c r="G79" s="5" t="s">
        <v>17</v>
      </c>
      <c r="H79" s="5" t="s">
        <v>26</v>
      </c>
      <c r="I79" s="5" t="s">
        <v>33</v>
      </c>
      <c r="J79" s="5" t="s">
        <v>39</v>
      </c>
      <c r="K79" s="5" t="s">
        <v>67</v>
      </c>
      <c r="L79" s="5">
        <v>0.49</v>
      </c>
      <c r="M79" s="5" t="s">
        <v>68</v>
      </c>
      <c r="N79" s="5">
        <v>8.8940000000000001</v>
      </c>
      <c r="O79" s="6">
        <v>54.78</v>
      </c>
    </row>
    <row r="80" spans="1:15" x14ac:dyDescent="0.25">
      <c r="A80" s="7" t="s">
        <v>23</v>
      </c>
      <c r="B80" s="8">
        <v>0.05</v>
      </c>
      <c r="C80" s="8">
        <v>4.1399999999999997</v>
      </c>
      <c r="D80" s="8">
        <v>6.6</v>
      </c>
      <c r="E80" s="8">
        <v>469</v>
      </c>
      <c r="F80" s="8" t="s">
        <v>16</v>
      </c>
      <c r="G80" s="8" t="s">
        <v>38</v>
      </c>
      <c r="H80" s="8" t="s">
        <v>26</v>
      </c>
      <c r="I80" s="8" t="s">
        <v>33</v>
      </c>
      <c r="J80" s="8" t="s">
        <v>39</v>
      </c>
      <c r="K80" s="8" t="s">
        <v>67</v>
      </c>
      <c r="L80" s="8">
        <v>0.49</v>
      </c>
      <c r="M80" s="8" t="s">
        <v>373</v>
      </c>
      <c r="N80" s="8">
        <v>-128.68719999999999</v>
      </c>
      <c r="O80" s="9">
        <v>33.35</v>
      </c>
    </row>
    <row r="81" spans="1:15" x14ac:dyDescent="0.25">
      <c r="A81" s="4" t="s">
        <v>23</v>
      </c>
      <c r="B81" s="5">
        <v>0.02</v>
      </c>
      <c r="C81" s="5">
        <v>1.74</v>
      </c>
      <c r="D81" s="5">
        <v>4.08</v>
      </c>
      <c r="E81" s="5">
        <v>129</v>
      </c>
      <c r="F81" s="5" t="s">
        <v>32</v>
      </c>
      <c r="G81" s="5" t="s">
        <v>38</v>
      </c>
      <c r="H81" s="5" t="s">
        <v>26</v>
      </c>
      <c r="I81" s="5" t="s">
        <v>33</v>
      </c>
      <c r="J81" s="5" t="s">
        <v>34</v>
      </c>
      <c r="K81" s="5" t="s">
        <v>142</v>
      </c>
      <c r="L81" s="5">
        <v>0.53</v>
      </c>
      <c r="M81" s="5" t="s">
        <v>143</v>
      </c>
      <c r="N81" s="5">
        <v>-37.39</v>
      </c>
      <c r="O81" s="6">
        <v>10.23</v>
      </c>
    </row>
    <row r="82" spans="1:15" x14ac:dyDescent="0.25">
      <c r="A82" s="7" t="s">
        <v>73</v>
      </c>
      <c r="B82" s="8">
        <v>0.06</v>
      </c>
      <c r="C82" s="8">
        <v>3.34</v>
      </c>
      <c r="D82" s="8">
        <v>7.49</v>
      </c>
      <c r="E82" s="8">
        <v>234</v>
      </c>
      <c r="F82" s="8" t="s">
        <v>16</v>
      </c>
      <c r="G82" s="8" t="s">
        <v>38</v>
      </c>
      <c r="H82" s="8" t="s">
        <v>18</v>
      </c>
      <c r="I82" s="8" t="s">
        <v>19</v>
      </c>
      <c r="J82" s="8" t="s">
        <v>20</v>
      </c>
      <c r="K82" s="8" t="s">
        <v>220</v>
      </c>
      <c r="L82" s="8">
        <v>0.54</v>
      </c>
      <c r="M82" s="8" t="s">
        <v>217</v>
      </c>
      <c r="N82" s="8">
        <v>-175.86</v>
      </c>
      <c r="O82" s="9">
        <v>27.45</v>
      </c>
    </row>
    <row r="83" spans="1:15" x14ac:dyDescent="0.25">
      <c r="A83" s="4" t="s">
        <v>31</v>
      </c>
      <c r="B83" s="5">
        <v>0.09</v>
      </c>
      <c r="C83" s="5">
        <v>6.28</v>
      </c>
      <c r="D83" s="5">
        <v>5.29</v>
      </c>
      <c r="E83" s="5">
        <v>335</v>
      </c>
      <c r="F83" s="5" t="s">
        <v>32</v>
      </c>
      <c r="G83" s="5" t="s">
        <v>17</v>
      </c>
      <c r="H83" s="5" t="s">
        <v>26</v>
      </c>
      <c r="I83" s="5" t="s">
        <v>33</v>
      </c>
      <c r="J83" s="5" t="s">
        <v>39</v>
      </c>
      <c r="K83" s="5" t="s">
        <v>289</v>
      </c>
      <c r="L83" s="5">
        <v>0.43</v>
      </c>
      <c r="M83" s="5" t="s">
        <v>288</v>
      </c>
      <c r="N83" s="5">
        <v>-5.2</v>
      </c>
      <c r="O83" s="6">
        <v>8.5299999999999994</v>
      </c>
    </row>
    <row r="84" spans="1:15" x14ac:dyDescent="0.25">
      <c r="A84" s="4" t="s">
        <v>23</v>
      </c>
      <c r="B84" s="5">
        <v>0.09</v>
      </c>
      <c r="C84" s="5">
        <v>7.38</v>
      </c>
      <c r="D84" s="5">
        <v>5.21</v>
      </c>
      <c r="E84" s="5">
        <v>317</v>
      </c>
      <c r="F84" s="5" t="s">
        <v>32</v>
      </c>
      <c r="G84" s="5" t="s">
        <v>17</v>
      </c>
      <c r="H84" s="5" t="s">
        <v>26</v>
      </c>
      <c r="I84" s="5" t="s">
        <v>33</v>
      </c>
      <c r="J84" s="5" t="s">
        <v>39</v>
      </c>
      <c r="K84" s="5" t="s">
        <v>278</v>
      </c>
      <c r="L84" s="5">
        <v>0.56000000000000005</v>
      </c>
      <c r="M84" s="5" t="s">
        <v>279</v>
      </c>
      <c r="N84" s="5">
        <v>-27.16</v>
      </c>
      <c r="O84" s="6">
        <v>66.55</v>
      </c>
    </row>
    <row r="85" spans="1:15" x14ac:dyDescent="0.25">
      <c r="A85" s="7" t="s">
        <v>73</v>
      </c>
      <c r="B85" s="8">
        <v>0.09</v>
      </c>
      <c r="C85" s="8">
        <v>19.23</v>
      </c>
      <c r="D85" s="8">
        <v>6.15</v>
      </c>
      <c r="E85" s="8">
        <v>369</v>
      </c>
      <c r="F85" s="8" t="s">
        <v>16</v>
      </c>
      <c r="G85" s="8" t="s">
        <v>17</v>
      </c>
      <c r="H85" s="8" t="s">
        <v>26</v>
      </c>
      <c r="I85" s="8" t="s">
        <v>33</v>
      </c>
      <c r="J85" s="8" t="s">
        <v>34</v>
      </c>
      <c r="K85" s="8" t="s">
        <v>309</v>
      </c>
      <c r="L85" s="8">
        <v>0.44</v>
      </c>
      <c r="M85" s="8" t="s">
        <v>310</v>
      </c>
      <c r="N85" s="8">
        <v>211.232</v>
      </c>
      <c r="O85" s="9">
        <v>394.1</v>
      </c>
    </row>
    <row r="86" spans="1:15" x14ac:dyDescent="0.25">
      <c r="A86" s="7" t="s">
        <v>23</v>
      </c>
      <c r="B86" s="8">
        <v>0.09</v>
      </c>
      <c r="C86" s="8">
        <v>30.73</v>
      </c>
      <c r="D86" s="8">
        <v>4</v>
      </c>
      <c r="E86" s="8">
        <v>191</v>
      </c>
      <c r="F86" s="8" t="s">
        <v>32</v>
      </c>
      <c r="G86" s="8" t="s">
        <v>17</v>
      </c>
      <c r="H86" s="8" t="s">
        <v>52</v>
      </c>
      <c r="I86" s="8" t="s">
        <v>121</v>
      </c>
      <c r="J86" s="8" t="s">
        <v>39</v>
      </c>
      <c r="K86" s="8" t="s">
        <v>190</v>
      </c>
      <c r="L86" s="8">
        <v>0.75</v>
      </c>
      <c r="M86" s="8" t="s">
        <v>189</v>
      </c>
      <c r="N86" s="8">
        <v>-99.986400000000003</v>
      </c>
      <c r="O86" s="9">
        <v>203.49</v>
      </c>
    </row>
    <row r="87" spans="1:15" x14ac:dyDescent="0.25">
      <c r="A87" s="4" t="s">
        <v>37</v>
      </c>
      <c r="B87" s="5">
        <v>7.0000000000000007E-2</v>
      </c>
      <c r="C87" s="5">
        <v>5.81</v>
      </c>
      <c r="D87" s="5">
        <v>8.49</v>
      </c>
      <c r="E87" s="5">
        <v>233</v>
      </c>
      <c r="F87" s="5" t="s">
        <v>32</v>
      </c>
      <c r="G87" s="5" t="s">
        <v>38</v>
      </c>
      <c r="H87" s="5" t="s">
        <v>18</v>
      </c>
      <c r="I87" s="5" t="s">
        <v>75</v>
      </c>
      <c r="J87" s="5" t="s">
        <v>39</v>
      </c>
      <c r="K87" s="5" t="s">
        <v>213</v>
      </c>
      <c r="L87" s="5">
        <v>0.39</v>
      </c>
      <c r="M87" s="5" t="s">
        <v>214</v>
      </c>
      <c r="N87" s="5">
        <v>-243.23650000000001</v>
      </c>
      <c r="O87" s="6">
        <v>58.8</v>
      </c>
    </row>
    <row r="88" spans="1:15" x14ac:dyDescent="0.25">
      <c r="A88" s="7" t="s">
        <v>37</v>
      </c>
      <c r="B88" s="8">
        <v>0.02</v>
      </c>
      <c r="C88" s="8">
        <v>34.979999999999997</v>
      </c>
      <c r="D88" s="8">
        <v>7.53</v>
      </c>
      <c r="E88" s="8">
        <v>392</v>
      </c>
      <c r="F88" s="8" t="s">
        <v>32</v>
      </c>
      <c r="G88" s="8" t="s">
        <v>17</v>
      </c>
      <c r="H88" s="8" t="s">
        <v>52</v>
      </c>
      <c r="I88" s="8" t="s">
        <v>121</v>
      </c>
      <c r="J88" s="8" t="s">
        <v>39</v>
      </c>
      <c r="K88" s="8" t="s">
        <v>328</v>
      </c>
      <c r="L88" s="8">
        <v>0.76</v>
      </c>
      <c r="M88" s="8" t="s">
        <v>329</v>
      </c>
      <c r="N88" s="8">
        <v>-159.68</v>
      </c>
      <c r="O88" s="9">
        <v>37.159999999999997</v>
      </c>
    </row>
    <row r="89" spans="1:15" x14ac:dyDescent="0.25">
      <c r="A89" s="7" t="s">
        <v>73</v>
      </c>
      <c r="B89" s="8">
        <v>0.08</v>
      </c>
      <c r="C89" s="8">
        <v>43.22</v>
      </c>
      <c r="D89" s="8">
        <v>16.71</v>
      </c>
      <c r="E89" s="8">
        <v>169</v>
      </c>
      <c r="F89" s="8" t="s">
        <v>32</v>
      </c>
      <c r="G89" s="8" t="s">
        <v>17</v>
      </c>
      <c r="H89" s="8" t="s">
        <v>52</v>
      </c>
      <c r="I89" s="8" t="s">
        <v>121</v>
      </c>
      <c r="J89" s="8" t="s">
        <v>39</v>
      </c>
      <c r="K89" s="8" t="s">
        <v>175</v>
      </c>
      <c r="L89" s="8">
        <v>0.66</v>
      </c>
      <c r="M89" s="8" t="s">
        <v>176</v>
      </c>
      <c r="N89" s="8">
        <v>280.27458000000001</v>
      </c>
      <c r="O89" s="9">
        <v>130.62</v>
      </c>
    </row>
    <row r="90" spans="1:15" x14ac:dyDescent="0.25">
      <c r="A90" s="4" t="s">
        <v>73</v>
      </c>
      <c r="B90" s="5">
        <v>0.05</v>
      </c>
      <c r="C90" s="5">
        <v>161.55000000000001</v>
      </c>
      <c r="D90" s="5">
        <v>19.989999999999998</v>
      </c>
      <c r="E90" s="5">
        <v>87</v>
      </c>
      <c r="F90" s="5" t="s">
        <v>32</v>
      </c>
      <c r="G90" s="5" t="s">
        <v>17</v>
      </c>
      <c r="H90" s="5" t="s">
        <v>18</v>
      </c>
      <c r="I90" s="5" t="s">
        <v>95</v>
      </c>
      <c r="J90" s="5" t="s">
        <v>39</v>
      </c>
      <c r="K90" s="5" t="s">
        <v>108</v>
      </c>
      <c r="L90" s="5">
        <v>0.66</v>
      </c>
      <c r="M90" s="5" t="s">
        <v>109</v>
      </c>
      <c r="N90" s="5">
        <v>1892.424</v>
      </c>
      <c r="O90" s="6">
        <v>3127.69</v>
      </c>
    </row>
    <row r="91" spans="1:15" x14ac:dyDescent="0.25">
      <c r="A91" s="7" t="s">
        <v>31</v>
      </c>
      <c r="B91" s="8">
        <v>0</v>
      </c>
      <c r="C91" s="8">
        <v>161.55000000000001</v>
      </c>
      <c r="D91" s="8">
        <v>19.989999999999998</v>
      </c>
      <c r="E91" s="8">
        <v>197</v>
      </c>
      <c r="F91" s="8" t="s">
        <v>32</v>
      </c>
      <c r="G91" s="8" t="s">
        <v>38</v>
      </c>
      <c r="H91" s="8" t="s">
        <v>18</v>
      </c>
      <c r="I91" s="8" t="s">
        <v>95</v>
      </c>
      <c r="J91" s="8" t="s">
        <v>39</v>
      </c>
      <c r="K91" s="8" t="s">
        <v>108</v>
      </c>
      <c r="L91" s="8">
        <v>0.66</v>
      </c>
      <c r="M91" s="8" t="s">
        <v>197</v>
      </c>
      <c r="N91" s="8">
        <v>1167.1579999999999</v>
      </c>
      <c r="O91" s="9">
        <v>3108.98</v>
      </c>
    </row>
    <row r="92" spans="1:15" x14ac:dyDescent="0.25">
      <c r="A92" s="4" t="s">
        <v>31</v>
      </c>
      <c r="B92" s="5">
        <v>0</v>
      </c>
      <c r="C92" s="5">
        <v>161.55000000000001</v>
      </c>
      <c r="D92" s="5">
        <v>19.989999999999998</v>
      </c>
      <c r="E92" s="5">
        <v>198</v>
      </c>
      <c r="F92" s="5" t="s">
        <v>32</v>
      </c>
      <c r="G92" s="5" t="s">
        <v>38</v>
      </c>
      <c r="H92" s="5" t="s">
        <v>18</v>
      </c>
      <c r="I92" s="5" t="s">
        <v>95</v>
      </c>
      <c r="J92" s="5" t="s">
        <v>39</v>
      </c>
      <c r="K92" s="5" t="s">
        <v>108</v>
      </c>
      <c r="L92" s="5">
        <v>0.66</v>
      </c>
      <c r="M92" s="5" t="s">
        <v>198</v>
      </c>
      <c r="N92" s="5">
        <v>1014.92</v>
      </c>
      <c r="O92" s="6">
        <v>12599.55</v>
      </c>
    </row>
    <row r="93" spans="1:15" x14ac:dyDescent="0.25">
      <c r="A93" s="7" t="s">
        <v>73</v>
      </c>
      <c r="B93" s="8">
        <v>7.0000000000000007E-2</v>
      </c>
      <c r="C93" s="8">
        <v>9.7100000000000009</v>
      </c>
      <c r="D93" s="8">
        <v>9.4499999999999993</v>
      </c>
      <c r="E93" s="8">
        <v>393</v>
      </c>
      <c r="F93" s="8" t="s">
        <v>32</v>
      </c>
      <c r="G93" s="8" t="s">
        <v>17</v>
      </c>
      <c r="H93" s="8" t="s">
        <v>18</v>
      </c>
      <c r="I93" s="8" t="s">
        <v>95</v>
      </c>
      <c r="J93" s="8" t="s">
        <v>39</v>
      </c>
      <c r="K93" s="8" t="s">
        <v>331</v>
      </c>
      <c r="L93" s="8">
        <v>0.6</v>
      </c>
      <c r="M93" s="8" t="s">
        <v>332</v>
      </c>
      <c r="N93" s="8">
        <v>-81.77</v>
      </c>
      <c r="O93" s="9">
        <v>31.44</v>
      </c>
    </row>
    <row r="94" spans="1:15" x14ac:dyDescent="0.25">
      <c r="A94" s="7" t="s">
        <v>31</v>
      </c>
      <c r="B94" s="8">
        <v>0.09</v>
      </c>
      <c r="C94" s="8">
        <v>10.98</v>
      </c>
      <c r="D94" s="8">
        <v>3.37</v>
      </c>
      <c r="E94" s="8">
        <v>136</v>
      </c>
      <c r="F94" s="8" t="s">
        <v>32</v>
      </c>
      <c r="G94" s="8" t="s">
        <v>38</v>
      </c>
      <c r="H94" s="8" t="s">
        <v>18</v>
      </c>
      <c r="I94" s="8" t="s">
        <v>117</v>
      </c>
      <c r="J94" s="8" t="s">
        <v>34</v>
      </c>
      <c r="K94" s="8" t="s">
        <v>147</v>
      </c>
      <c r="L94" s="8">
        <v>0.56999999999999995</v>
      </c>
      <c r="M94" s="8" t="s">
        <v>146</v>
      </c>
      <c r="N94" s="8">
        <v>2.706</v>
      </c>
      <c r="O94" s="9">
        <v>84.52</v>
      </c>
    </row>
    <row r="95" spans="1:15" x14ac:dyDescent="0.25">
      <c r="A95" s="7" t="s">
        <v>31</v>
      </c>
      <c r="B95" s="8">
        <v>0.05</v>
      </c>
      <c r="C95" s="8">
        <v>10.98</v>
      </c>
      <c r="D95" s="8">
        <v>3.37</v>
      </c>
      <c r="E95" s="8">
        <v>144</v>
      </c>
      <c r="F95" s="8" t="s">
        <v>32</v>
      </c>
      <c r="G95" s="8" t="s">
        <v>38</v>
      </c>
      <c r="H95" s="8" t="s">
        <v>18</v>
      </c>
      <c r="I95" s="8" t="s">
        <v>117</v>
      </c>
      <c r="J95" s="8" t="s">
        <v>34</v>
      </c>
      <c r="K95" s="8" t="s">
        <v>147</v>
      </c>
      <c r="L95" s="8">
        <v>0.56999999999999995</v>
      </c>
      <c r="M95" s="8" t="s">
        <v>150</v>
      </c>
      <c r="N95" s="8">
        <v>-2.544</v>
      </c>
      <c r="O95" s="9">
        <v>64.400000000000006</v>
      </c>
    </row>
    <row r="96" spans="1:15" x14ac:dyDescent="0.25">
      <c r="A96" s="4" t="s">
        <v>73</v>
      </c>
      <c r="B96" s="5">
        <v>7.0000000000000007E-2</v>
      </c>
      <c r="C96" s="5">
        <v>2.12</v>
      </c>
      <c r="D96" s="5">
        <v>1.99</v>
      </c>
      <c r="E96" s="5">
        <v>115</v>
      </c>
      <c r="F96" s="5" t="s">
        <v>32</v>
      </c>
      <c r="G96" s="5" t="s">
        <v>25</v>
      </c>
      <c r="H96" s="5" t="s">
        <v>52</v>
      </c>
      <c r="I96" s="5" t="s">
        <v>121</v>
      </c>
      <c r="J96" s="5" t="s">
        <v>34</v>
      </c>
      <c r="K96" s="5" t="s">
        <v>135</v>
      </c>
      <c r="L96" s="5">
        <v>0.55000000000000004</v>
      </c>
      <c r="M96" s="5" t="s">
        <v>136</v>
      </c>
      <c r="N96" s="5">
        <v>-55.84</v>
      </c>
      <c r="O96" s="6">
        <v>26.07</v>
      </c>
    </row>
    <row r="97" spans="1:15" x14ac:dyDescent="0.25">
      <c r="A97" s="4" t="s">
        <v>73</v>
      </c>
      <c r="B97" s="5">
        <v>7.0000000000000007E-2</v>
      </c>
      <c r="C97" s="5">
        <v>2.12</v>
      </c>
      <c r="D97" s="5">
        <v>1.99</v>
      </c>
      <c r="E97" s="5">
        <v>117</v>
      </c>
      <c r="F97" s="5" t="s">
        <v>32</v>
      </c>
      <c r="G97" s="5" t="s">
        <v>25</v>
      </c>
      <c r="H97" s="5" t="s">
        <v>52</v>
      </c>
      <c r="I97" s="5" t="s">
        <v>121</v>
      </c>
      <c r="J97" s="5" t="s">
        <v>34</v>
      </c>
      <c r="K97" s="5" t="s">
        <v>135</v>
      </c>
      <c r="L97" s="5">
        <v>0.55000000000000004</v>
      </c>
      <c r="M97" s="5" t="s">
        <v>137</v>
      </c>
      <c r="N97" s="5">
        <v>-55.84</v>
      </c>
      <c r="O97" s="6">
        <v>99.94</v>
      </c>
    </row>
    <row r="98" spans="1:15" x14ac:dyDescent="0.25">
      <c r="A98" s="7" t="s">
        <v>15</v>
      </c>
      <c r="B98" s="8">
        <v>0.08</v>
      </c>
      <c r="C98" s="8">
        <v>896.99</v>
      </c>
      <c r="D98" s="8">
        <v>19.989999999999998</v>
      </c>
      <c r="E98" s="8">
        <v>84</v>
      </c>
      <c r="F98" s="8" t="s">
        <v>32</v>
      </c>
      <c r="G98" s="8" t="s">
        <v>17</v>
      </c>
      <c r="H98" s="8" t="s">
        <v>18</v>
      </c>
      <c r="I98" s="8" t="s">
        <v>75</v>
      </c>
      <c r="J98" s="8" t="s">
        <v>39</v>
      </c>
      <c r="K98" s="8" t="s">
        <v>107</v>
      </c>
      <c r="L98" s="8">
        <v>0.38</v>
      </c>
      <c r="M98" s="8" t="s">
        <v>106</v>
      </c>
      <c r="N98" s="8">
        <v>7402.32</v>
      </c>
      <c r="O98" s="9">
        <v>10728</v>
      </c>
    </row>
    <row r="99" spans="1:15" x14ac:dyDescent="0.25">
      <c r="A99" s="7" t="s">
        <v>15</v>
      </c>
      <c r="B99" s="8">
        <v>0.1</v>
      </c>
      <c r="C99" s="8">
        <v>8.8800000000000008</v>
      </c>
      <c r="D99" s="8">
        <v>6.28</v>
      </c>
      <c r="E99" s="8">
        <v>387</v>
      </c>
      <c r="F99" s="8" t="s">
        <v>16</v>
      </c>
      <c r="G99" s="8" t="s">
        <v>17</v>
      </c>
      <c r="H99" s="8" t="s">
        <v>18</v>
      </c>
      <c r="I99" s="8" t="s">
        <v>75</v>
      </c>
      <c r="J99" s="8" t="s">
        <v>39</v>
      </c>
      <c r="K99" s="8" t="s">
        <v>322</v>
      </c>
      <c r="L99" s="8">
        <v>0.35</v>
      </c>
      <c r="M99" s="8" t="s">
        <v>323</v>
      </c>
      <c r="N99" s="8">
        <v>-27.283750000000001</v>
      </c>
      <c r="O99" s="9">
        <v>126.9</v>
      </c>
    </row>
    <row r="100" spans="1:15" x14ac:dyDescent="0.25">
      <c r="A100" s="4" t="s">
        <v>73</v>
      </c>
      <c r="B100" s="5">
        <v>0.01</v>
      </c>
      <c r="C100" s="5">
        <v>8.8800000000000008</v>
      </c>
      <c r="D100" s="5">
        <v>6.28</v>
      </c>
      <c r="E100" s="5">
        <v>451</v>
      </c>
      <c r="F100" s="5" t="s">
        <v>32</v>
      </c>
      <c r="G100" s="5" t="s">
        <v>25</v>
      </c>
      <c r="H100" s="5" t="s">
        <v>18</v>
      </c>
      <c r="I100" s="5" t="s">
        <v>75</v>
      </c>
      <c r="J100" s="5" t="s">
        <v>39</v>
      </c>
      <c r="K100" s="5" t="s">
        <v>322</v>
      </c>
      <c r="L100" s="5">
        <v>0.35</v>
      </c>
      <c r="M100" s="5" t="s">
        <v>358</v>
      </c>
      <c r="N100" s="5">
        <v>-15.456</v>
      </c>
      <c r="O100" s="6">
        <v>19.86</v>
      </c>
    </row>
    <row r="101" spans="1:15" x14ac:dyDescent="0.25">
      <c r="A101" s="7" t="s">
        <v>37</v>
      </c>
      <c r="B101" s="8">
        <v>0.04</v>
      </c>
      <c r="C101" s="8">
        <v>99.23</v>
      </c>
      <c r="D101" s="8">
        <v>8.99</v>
      </c>
      <c r="E101" s="8">
        <v>349</v>
      </c>
      <c r="F101" s="8" t="s">
        <v>32</v>
      </c>
      <c r="G101" s="8" t="s">
        <v>25</v>
      </c>
      <c r="H101" s="8" t="s">
        <v>26</v>
      </c>
      <c r="I101" s="8" t="s">
        <v>33</v>
      </c>
      <c r="J101" s="8" t="s">
        <v>34</v>
      </c>
      <c r="K101" s="8" t="s">
        <v>298</v>
      </c>
      <c r="L101" s="8">
        <v>0.35</v>
      </c>
      <c r="M101" s="8" t="s">
        <v>294</v>
      </c>
      <c r="N101" s="8">
        <v>1916.6757</v>
      </c>
      <c r="O101" s="9">
        <v>5555.6</v>
      </c>
    </row>
    <row r="102" spans="1:15" x14ac:dyDescent="0.25">
      <c r="A102" s="7" t="s">
        <v>37</v>
      </c>
      <c r="B102" s="8">
        <v>0.04</v>
      </c>
      <c r="C102" s="8">
        <v>99.23</v>
      </c>
      <c r="D102" s="8">
        <v>8.99</v>
      </c>
      <c r="E102" s="8">
        <v>351</v>
      </c>
      <c r="F102" s="8" t="s">
        <v>32</v>
      </c>
      <c r="G102" s="8" t="s">
        <v>25</v>
      </c>
      <c r="H102" s="8" t="s">
        <v>26</v>
      </c>
      <c r="I102" s="8" t="s">
        <v>33</v>
      </c>
      <c r="J102" s="8" t="s">
        <v>34</v>
      </c>
      <c r="K102" s="8" t="s">
        <v>298</v>
      </c>
      <c r="L102" s="8">
        <v>0.35</v>
      </c>
      <c r="M102" s="8" t="s">
        <v>299</v>
      </c>
      <c r="N102" s="8">
        <v>993.83460000000002</v>
      </c>
      <c r="O102" s="9">
        <v>1440.34</v>
      </c>
    </row>
    <row r="103" spans="1:15" x14ac:dyDescent="0.25">
      <c r="A103" s="4" t="s">
        <v>37</v>
      </c>
      <c r="B103" s="5">
        <v>0.1</v>
      </c>
      <c r="C103" s="5">
        <v>280.98</v>
      </c>
      <c r="D103" s="5">
        <v>35.67</v>
      </c>
      <c r="E103" s="5">
        <v>254</v>
      </c>
      <c r="F103" s="5" t="s">
        <v>24</v>
      </c>
      <c r="G103" s="5" t="s">
        <v>25</v>
      </c>
      <c r="H103" s="5" t="s">
        <v>26</v>
      </c>
      <c r="I103" s="5" t="s">
        <v>102</v>
      </c>
      <c r="J103" s="5" t="s">
        <v>83</v>
      </c>
      <c r="K103" s="5" t="s">
        <v>235</v>
      </c>
      <c r="L103" s="5">
        <v>0.66</v>
      </c>
      <c r="M103" s="5" t="s">
        <v>236</v>
      </c>
      <c r="N103" s="5">
        <v>-53.744999999999997</v>
      </c>
      <c r="O103" s="6">
        <v>1332.82</v>
      </c>
    </row>
    <row r="104" spans="1:15" x14ac:dyDescent="0.25">
      <c r="A104" s="7" t="s">
        <v>37</v>
      </c>
      <c r="B104" s="8">
        <v>0.06</v>
      </c>
      <c r="C104" s="8">
        <v>180.98</v>
      </c>
      <c r="D104" s="8">
        <v>26.2</v>
      </c>
      <c r="E104" s="8">
        <v>146</v>
      </c>
      <c r="F104" s="8" t="s">
        <v>24</v>
      </c>
      <c r="G104" s="8" t="s">
        <v>17</v>
      </c>
      <c r="H104" s="8" t="s">
        <v>26</v>
      </c>
      <c r="I104" s="8" t="s">
        <v>27</v>
      </c>
      <c r="J104" s="8" t="s">
        <v>28</v>
      </c>
      <c r="K104" s="8" t="s">
        <v>157</v>
      </c>
      <c r="L104" s="8">
        <v>0.59</v>
      </c>
      <c r="M104" s="8" t="s">
        <v>156</v>
      </c>
      <c r="N104" s="8">
        <v>251.4084</v>
      </c>
      <c r="O104" s="9">
        <v>929.57</v>
      </c>
    </row>
    <row r="105" spans="1:15" x14ac:dyDescent="0.25">
      <c r="A105" s="7" t="s">
        <v>15</v>
      </c>
      <c r="B105" s="8">
        <v>0.09</v>
      </c>
      <c r="C105" s="8">
        <v>122.99</v>
      </c>
      <c r="D105" s="8">
        <v>70.2</v>
      </c>
      <c r="E105" s="8">
        <v>68</v>
      </c>
      <c r="F105" s="8" t="s">
        <v>24</v>
      </c>
      <c r="G105" s="8" t="s">
        <v>17</v>
      </c>
      <c r="H105" s="8" t="s">
        <v>26</v>
      </c>
      <c r="I105" s="8" t="s">
        <v>27</v>
      </c>
      <c r="J105" s="8" t="s">
        <v>28</v>
      </c>
      <c r="K105" s="8" t="s">
        <v>100</v>
      </c>
      <c r="L105" s="8">
        <v>0.74</v>
      </c>
      <c r="M105" s="8" t="s">
        <v>61</v>
      </c>
      <c r="N105" s="8">
        <v>-2426.5500000000002</v>
      </c>
      <c r="O105" s="9">
        <v>5718.85</v>
      </c>
    </row>
    <row r="106" spans="1:15" x14ac:dyDescent="0.25">
      <c r="A106" s="4" t="s">
        <v>15</v>
      </c>
      <c r="B106" s="5">
        <v>0.09</v>
      </c>
      <c r="C106" s="5">
        <v>122.99</v>
      </c>
      <c r="D106" s="5">
        <v>70.2</v>
      </c>
      <c r="E106" s="5">
        <v>70</v>
      </c>
      <c r="F106" s="5" t="s">
        <v>24</v>
      </c>
      <c r="G106" s="5" t="s">
        <v>17</v>
      </c>
      <c r="H106" s="5" t="s">
        <v>26</v>
      </c>
      <c r="I106" s="5" t="s">
        <v>27</v>
      </c>
      <c r="J106" s="5" t="s">
        <v>28</v>
      </c>
      <c r="K106" s="5" t="s">
        <v>100</v>
      </c>
      <c r="L106" s="5">
        <v>0.74</v>
      </c>
      <c r="M106" s="5" t="s">
        <v>101</v>
      </c>
      <c r="N106" s="5">
        <v>-2426.5500000000002</v>
      </c>
      <c r="O106" s="6">
        <v>1400.53</v>
      </c>
    </row>
    <row r="107" spans="1:15" x14ac:dyDescent="0.25">
      <c r="A107" s="7" t="s">
        <v>37</v>
      </c>
      <c r="B107" s="8">
        <v>0.03</v>
      </c>
      <c r="C107" s="8">
        <v>60.89</v>
      </c>
      <c r="D107" s="8">
        <v>32.409999999999997</v>
      </c>
      <c r="E107" s="8">
        <v>228</v>
      </c>
      <c r="F107" s="8" t="s">
        <v>24</v>
      </c>
      <c r="G107" s="8" t="s">
        <v>38</v>
      </c>
      <c r="H107" s="8" t="s">
        <v>26</v>
      </c>
      <c r="I107" s="8" t="s">
        <v>27</v>
      </c>
      <c r="J107" s="8" t="s">
        <v>28</v>
      </c>
      <c r="K107" s="8" t="s">
        <v>211</v>
      </c>
      <c r="L107" s="8">
        <v>0.56000000000000005</v>
      </c>
      <c r="M107" s="8" t="s">
        <v>212</v>
      </c>
      <c r="N107" s="8">
        <v>36.353999999999999</v>
      </c>
      <c r="O107" s="9">
        <v>450.49</v>
      </c>
    </row>
    <row r="108" spans="1:15" x14ac:dyDescent="0.25">
      <c r="A108" s="7" t="s">
        <v>23</v>
      </c>
      <c r="B108" s="8">
        <v>0.02</v>
      </c>
      <c r="C108" s="8">
        <v>500.98</v>
      </c>
      <c r="D108" s="8">
        <v>26</v>
      </c>
      <c r="E108" s="8">
        <v>5</v>
      </c>
      <c r="F108" s="8" t="s">
        <v>24</v>
      </c>
      <c r="G108" s="8" t="s">
        <v>25</v>
      </c>
      <c r="H108" s="8" t="s">
        <v>26</v>
      </c>
      <c r="I108" s="8" t="s">
        <v>27</v>
      </c>
      <c r="J108" s="8" t="s">
        <v>28</v>
      </c>
      <c r="K108" s="8" t="s">
        <v>29</v>
      </c>
      <c r="L108" s="8">
        <v>0.6</v>
      </c>
      <c r="M108" s="8" t="s">
        <v>30</v>
      </c>
      <c r="N108" s="8">
        <v>4390.3665000000001</v>
      </c>
      <c r="O108" s="9">
        <v>6362.85</v>
      </c>
    </row>
    <row r="109" spans="1:15" x14ac:dyDescent="0.25">
      <c r="A109" s="7" t="s">
        <v>31</v>
      </c>
      <c r="B109" s="8">
        <v>0</v>
      </c>
      <c r="C109" s="8">
        <v>4.42</v>
      </c>
      <c r="D109" s="8">
        <v>4.99</v>
      </c>
      <c r="E109" s="8">
        <v>15</v>
      </c>
      <c r="F109" s="8" t="s">
        <v>32</v>
      </c>
      <c r="G109" s="8" t="s">
        <v>38</v>
      </c>
      <c r="H109" s="8" t="s">
        <v>18</v>
      </c>
      <c r="I109" s="8" t="s">
        <v>46</v>
      </c>
      <c r="J109" s="8" t="s">
        <v>39</v>
      </c>
      <c r="K109" s="8" t="s">
        <v>47</v>
      </c>
      <c r="L109" s="8">
        <v>0.38</v>
      </c>
      <c r="M109" s="8" t="s">
        <v>48</v>
      </c>
      <c r="N109" s="8">
        <v>-59.82</v>
      </c>
      <c r="O109" s="9">
        <v>33.47</v>
      </c>
    </row>
    <row r="110" spans="1:15" x14ac:dyDescent="0.25">
      <c r="A110" s="4" t="s">
        <v>23</v>
      </c>
      <c r="B110" s="5">
        <v>7.0000000000000007E-2</v>
      </c>
      <c r="C110" s="5">
        <v>12.99</v>
      </c>
      <c r="D110" s="5">
        <v>9.44</v>
      </c>
      <c r="E110" s="5">
        <v>19</v>
      </c>
      <c r="F110" s="5" t="s">
        <v>32</v>
      </c>
      <c r="G110" s="5" t="s">
        <v>38</v>
      </c>
      <c r="H110" s="5" t="s">
        <v>52</v>
      </c>
      <c r="I110" s="5" t="s">
        <v>57</v>
      </c>
      <c r="J110" s="5" t="s">
        <v>58</v>
      </c>
      <c r="K110" s="5" t="s">
        <v>59</v>
      </c>
      <c r="L110" s="5">
        <v>0.39</v>
      </c>
      <c r="M110" s="5" t="s">
        <v>60</v>
      </c>
      <c r="N110" s="5">
        <v>-114.6399</v>
      </c>
      <c r="O110" s="6">
        <v>231.79</v>
      </c>
    </row>
    <row r="111" spans="1:15" x14ac:dyDescent="0.25">
      <c r="A111" s="7" t="s">
        <v>23</v>
      </c>
      <c r="B111" s="8">
        <v>7.0000000000000007E-2</v>
      </c>
      <c r="C111" s="8">
        <v>12.99</v>
      </c>
      <c r="D111" s="8">
        <v>9.44</v>
      </c>
      <c r="E111" s="8">
        <v>21</v>
      </c>
      <c r="F111" s="8" t="s">
        <v>32</v>
      </c>
      <c r="G111" s="8" t="s">
        <v>38</v>
      </c>
      <c r="H111" s="8" t="s">
        <v>52</v>
      </c>
      <c r="I111" s="8" t="s">
        <v>57</v>
      </c>
      <c r="J111" s="8" t="s">
        <v>58</v>
      </c>
      <c r="K111" s="8" t="s">
        <v>59</v>
      </c>
      <c r="L111" s="8">
        <v>0.39</v>
      </c>
      <c r="M111" s="8" t="s">
        <v>61</v>
      </c>
      <c r="N111" s="8">
        <v>-114.6399</v>
      </c>
      <c r="O111" s="9">
        <v>914.29</v>
      </c>
    </row>
    <row r="112" spans="1:15" x14ac:dyDescent="0.25">
      <c r="A112" s="4" t="s">
        <v>37</v>
      </c>
      <c r="B112" s="5">
        <v>0.05</v>
      </c>
      <c r="C112" s="5">
        <v>119.99</v>
      </c>
      <c r="D112" s="5">
        <v>56.14</v>
      </c>
      <c r="E112" s="5">
        <v>218</v>
      </c>
      <c r="F112" s="5" t="s">
        <v>24</v>
      </c>
      <c r="G112" s="5" t="s">
        <v>79</v>
      </c>
      <c r="H112" s="5" t="s">
        <v>52</v>
      </c>
      <c r="I112" s="5" t="s">
        <v>57</v>
      </c>
      <c r="J112" s="5" t="s">
        <v>83</v>
      </c>
      <c r="K112" s="5" t="s">
        <v>209</v>
      </c>
      <c r="L112" s="5">
        <v>0.39</v>
      </c>
      <c r="M112" s="5" t="s">
        <v>210</v>
      </c>
      <c r="N112" s="5">
        <v>-102.5121</v>
      </c>
      <c r="O112" s="6">
        <v>730.37</v>
      </c>
    </row>
    <row r="113" spans="1:15" x14ac:dyDescent="0.25">
      <c r="A113" s="7" t="s">
        <v>37</v>
      </c>
      <c r="B113" s="8">
        <v>0.1</v>
      </c>
      <c r="C113" s="8">
        <v>80.97</v>
      </c>
      <c r="D113" s="8">
        <v>30.06</v>
      </c>
      <c r="E113" s="8">
        <v>271</v>
      </c>
      <c r="F113" s="8" t="s">
        <v>24</v>
      </c>
      <c r="G113" s="8" t="s">
        <v>38</v>
      </c>
      <c r="H113" s="8" t="s">
        <v>52</v>
      </c>
      <c r="I113" s="8" t="s">
        <v>57</v>
      </c>
      <c r="J113" s="8" t="s">
        <v>83</v>
      </c>
      <c r="K113" s="8" t="s">
        <v>255</v>
      </c>
      <c r="L113" s="8">
        <v>0.4</v>
      </c>
      <c r="M113" s="8" t="s">
        <v>256</v>
      </c>
      <c r="N113" s="8">
        <v>128.02529999999999</v>
      </c>
      <c r="O113" s="9">
        <v>899.81</v>
      </c>
    </row>
    <row r="114" spans="1:15" x14ac:dyDescent="0.25">
      <c r="A114" s="4" t="s">
        <v>37</v>
      </c>
      <c r="B114" s="5">
        <v>0.04</v>
      </c>
      <c r="C114" s="5">
        <v>1637.53</v>
      </c>
      <c r="D114" s="5">
        <v>24.49</v>
      </c>
      <c r="E114" s="5">
        <v>314</v>
      </c>
      <c r="F114" s="5" t="s">
        <v>32</v>
      </c>
      <c r="G114" s="5" t="s">
        <v>17</v>
      </c>
      <c r="H114" s="5" t="s">
        <v>18</v>
      </c>
      <c r="I114" s="5" t="s">
        <v>117</v>
      </c>
      <c r="J114" s="5" t="s">
        <v>58</v>
      </c>
      <c r="K114" s="5" t="s">
        <v>276</v>
      </c>
      <c r="L114" s="5">
        <v>0.81</v>
      </c>
      <c r="M114" s="5" t="s">
        <v>256</v>
      </c>
      <c r="N114" s="5">
        <v>-1759.58</v>
      </c>
      <c r="O114" s="6">
        <v>3206.94</v>
      </c>
    </row>
    <row r="115" spans="1:15" x14ac:dyDescent="0.25">
      <c r="A115" s="4" t="s">
        <v>23</v>
      </c>
      <c r="B115" s="5">
        <v>0.06</v>
      </c>
      <c r="C115" s="5">
        <v>14.42</v>
      </c>
      <c r="D115" s="5">
        <v>6.75</v>
      </c>
      <c r="E115" s="5">
        <v>468</v>
      </c>
      <c r="F115" s="5" t="s">
        <v>32</v>
      </c>
      <c r="G115" s="5" t="s">
        <v>38</v>
      </c>
      <c r="H115" s="5" t="s">
        <v>18</v>
      </c>
      <c r="I115" s="5" t="s">
        <v>168</v>
      </c>
      <c r="J115" s="5" t="s">
        <v>58</v>
      </c>
      <c r="K115" s="5" t="s">
        <v>371</v>
      </c>
      <c r="L115" s="5">
        <v>0.52</v>
      </c>
      <c r="M115" s="5" t="s">
        <v>372</v>
      </c>
      <c r="N115" s="5">
        <v>-27.738800000000001</v>
      </c>
      <c r="O115" s="6">
        <v>73.040000000000006</v>
      </c>
    </row>
    <row r="116" spans="1:15" x14ac:dyDescent="0.25">
      <c r="A116" s="4" t="s">
        <v>73</v>
      </c>
      <c r="B116" s="5">
        <v>0</v>
      </c>
      <c r="C116" s="5">
        <v>291.73</v>
      </c>
      <c r="D116" s="5">
        <v>48.8</v>
      </c>
      <c r="E116" s="5">
        <v>68</v>
      </c>
      <c r="F116" s="5" t="s">
        <v>24</v>
      </c>
      <c r="G116" s="5" t="s">
        <v>17</v>
      </c>
      <c r="H116" s="5" t="s">
        <v>26</v>
      </c>
      <c r="I116" s="5" t="s">
        <v>27</v>
      </c>
      <c r="J116" s="5" t="s">
        <v>28</v>
      </c>
      <c r="K116" s="5" t="s">
        <v>98</v>
      </c>
      <c r="L116" s="5">
        <v>0.56000000000000005</v>
      </c>
      <c r="M116" s="5" t="s">
        <v>61</v>
      </c>
      <c r="N116" s="5">
        <v>-308.928</v>
      </c>
      <c r="O116" s="6">
        <v>1239.06</v>
      </c>
    </row>
    <row r="117" spans="1:15" x14ac:dyDescent="0.25">
      <c r="A117" s="7" t="s">
        <v>15</v>
      </c>
      <c r="B117" s="8">
        <v>0.04</v>
      </c>
      <c r="C117" s="8">
        <v>296.18</v>
      </c>
      <c r="D117" s="8">
        <v>54.12</v>
      </c>
      <c r="E117" s="8">
        <v>83</v>
      </c>
      <c r="F117" s="8" t="s">
        <v>24</v>
      </c>
      <c r="G117" s="8" t="s">
        <v>17</v>
      </c>
      <c r="H117" s="8" t="s">
        <v>26</v>
      </c>
      <c r="I117" s="8" t="s">
        <v>102</v>
      </c>
      <c r="J117" s="8" t="s">
        <v>83</v>
      </c>
      <c r="K117" s="8" t="s">
        <v>103</v>
      </c>
      <c r="L117" s="8">
        <v>0.76</v>
      </c>
      <c r="M117" s="8" t="s">
        <v>104</v>
      </c>
      <c r="N117" s="8">
        <v>-715.77820599999995</v>
      </c>
      <c r="O117" s="9">
        <v>1821.89</v>
      </c>
    </row>
    <row r="118" spans="1:15" x14ac:dyDescent="0.25">
      <c r="A118" s="4" t="s">
        <v>15</v>
      </c>
      <c r="B118" s="5">
        <v>0.01</v>
      </c>
      <c r="C118" s="5">
        <v>296.18</v>
      </c>
      <c r="D118" s="5">
        <v>54.12</v>
      </c>
      <c r="E118" s="5">
        <v>87</v>
      </c>
      <c r="F118" s="5" t="s">
        <v>24</v>
      </c>
      <c r="G118" s="5" t="s">
        <v>17</v>
      </c>
      <c r="H118" s="5" t="s">
        <v>26</v>
      </c>
      <c r="I118" s="5" t="s">
        <v>102</v>
      </c>
      <c r="J118" s="5" t="s">
        <v>83</v>
      </c>
      <c r="K118" s="5" t="s">
        <v>103</v>
      </c>
      <c r="L118" s="5">
        <v>0.76</v>
      </c>
      <c r="M118" s="5" t="s">
        <v>109</v>
      </c>
      <c r="N118" s="5">
        <v>173.48</v>
      </c>
      <c r="O118" s="6">
        <v>2875.72</v>
      </c>
    </row>
    <row r="119" spans="1:15" x14ac:dyDescent="0.25">
      <c r="A119" s="7" t="s">
        <v>37</v>
      </c>
      <c r="B119" s="8">
        <v>0.06</v>
      </c>
      <c r="C119" s="8">
        <v>296.18</v>
      </c>
      <c r="D119" s="8">
        <v>54.12</v>
      </c>
      <c r="E119" s="8">
        <v>329</v>
      </c>
      <c r="F119" s="8" t="s">
        <v>24</v>
      </c>
      <c r="G119" s="8" t="s">
        <v>25</v>
      </c>
      <c r="H119" s="8" t="s">
        <v>26</v>
      </c>
      <c r="I119" s="8" t="s">
        <v>102</v>
      </c>
      <c r="J119" s="8" t="s">
        <v>83</v>
      </c>
      <c r="K119" s="8" t="s">
        <v>103</v>
      </c>
      <c r="L119" s="8">
        <v>0.76</v>
      </c>
      <c r="M119" s="8" t="s">
        <v>284</v>
      </c>
      <c r="N119" s="8">
        <v>-715.77820599999995</v>
      </c>
      <c r="O119" s="9">
        <v>1170.21</v>
      </c>
    </row>
    <row r="120" spans="1:15" x14ac:dyDescent="0.25">
      <c r="A120" s="4" t="s">
        <v>15</v>
      </c>
      <c r="B120" s="5">
        <v>0.05</v>
      </c>
      <c r="C120" s="5">
        <v>31.76</v>
      </c>
      <c r="D120" s="5">
        <v>45.51</v>
      </c>
      <c r="E120" s="5">
        <v>263</v>
      </c>
      <c r="F120" s="5" t="s">
        <v>24</v>
      </c>
      <c r="G120" s="5" t="s">
        <v>38</v>
      </c>
      <c r="H120" s="5" t="s">
        <v>26</v>
      </c>
      <c r="I120" s="5" t="s">
        <v>102</v>
      </c>
      <c r="J120" s="5" t="s">
        <v>83</v>
      </c>
      <c r="K120" s="5" t="s">
        <v>243</v>
      </c>
      <c r="L120" s="5">
        <v>0.65</v>
      </c>
      <c r="M120" s="5" t="s">
        <v>244</v>
      </c>
      <c r="N120" s="5">
        <v>-2177.9860960000001</v>
      </c>
      <c r="O120" s="6">
        <v>304.33999999999997</v>
      </c>
    </row>
    <row r="121" spans="1:15" x14ac:dyDescent="0.25">
      <c r="A121" s="7" t="s">
        <v>73</v>
      </c>
      <c r="B121" s="8">
        <v>7.0000000000000007E-2</v>
      </c>
      <c r="C121" s="8">
        <v>100.98</v>
      </c>
      <c r="D121" s="8">
        <v>45</v>
      </c>
      <c r="E121" s="8">
        <v>68</v>
      </c>
      <c r="F121" s="8" t="s">
        <v>24</v>
      </c>
      <c r="G121" s="8" t="s">
        <v>17</v>
      </c>
      <c r="H121" s="8" t="s">
        <v>26</v>
      </c>
      <c r="I121" s="8" t="s">
        <v>27</v>
      </c>
      <c r="J121" s="8" t="s">
        <v>28</v>
      </c>
      <c r="K121" s="8" t="s">
        <v>99</v>
      </c>
      <c r="L121" s="8">
        <v>0.69</v>
      </c>
      <c r="M121" s="8" t="s">
        <v>61</v>
      </c>
      <c r="N121" s="8">
        <v>-1679.76</v>
      </c>
      <c r="O121" s="9">
        <v>4083.19</v>
      </c>
    </row>
    <row r="122" spans="1:15" x14ac:dyDescent="0.25">
      <c r="A122" s="7" t="s">
        <v>37</v>
      </c>
      <c r="B122" s="8">
        <v>0.08</v>
      </c>
      <c r="C122" s="8">
        <v>7.77</v>
      </c>
      <c r="D122" s="8">
        <v>9.23</v>
      </c>
      <c r="E122" s="8">
        <v>339</v>
      </c>
      <c r="F122" s="8" t="s">
        <v>32</v>
      </c>
      <c r="G122" s="8" t="s">
        <v>17</v>
      </c>
      <c r="H122" s="8" t="s">
        <v>18</v>
      </c>
      <c r="I122" s="8" t="s">
        <v>168</v>
      </c>
      <c r="J122" s="8" t="s">
        <v>39</v>
      </c>
      <c r="K122" s="8" t="s">
        <v>290</v>
      </c>
      <c r="L122" s="8">
        <v>0.57999999999999996</v>
      </c>
      <c r="M122" s="8" t="s">
        <v>291</v>
      </c>
      <c r="N122" s="8">
        <v>-83.65</v>
      </c>
      <c r="O122" s="9">
        <v>40.299999999999997</v>
      </c>
    </row>
    <row r="123" spans="1:15" x14ac:dyDescent="0.25">
      <c r="A123" s="4" t="s">
        <v>15</v>
      </c>
      <c r="B123" s="5">
        <v>0.05</v>
      </c>
      <c r="C123" s="5">
        <v>178.47</v>
      </c>
      <c r="D123" s="5">
        <v>19.989999999999998</v>
      </c>
      <c r="E123" s="5">
        <v>411</v>
      </c>
      <c r="F123" s="5" t="s">
        <v>16</v>
      </c>
      <c r="G123" s="5" t="s">
        <v>79</v>
      </c>
      <c r="H123" s="5" t="s">
        <v>18</v>
      </c>
      <c r="I123" s="5" t="s">
        <v>95</v>
      </c>
      <c r="J123" s="5" t="s">
        <v>39</v>
      </c>
      <c r="K123" s="5" t="s">
        <v>343</v>
      </c>
      <c r="L123" s="5">
        <v>0.55000000000000004</v>
      </c>
      <c r="M123" s="5" t="s">
        <v>310</v>
      </c>
      <c r="N123" s="5">
        <v>943</v>
      </c>
      <c r="O123" s="6">
        <v>1531.31</v>
      </c>
    </row>
    <row r="124" spans="1:15" x14ac:dyDescent="0.25">
      <c r="A124" s="7" t="s">
        <v>37</v>
      </c>
      <c r="B124" s="8">
        <v>0.09</v>
      </c>
      <c r="C124" s="8">
        <v>78.69</v>
      </c>
      <c r="D124" s="8">
        <v>19.989999999999998</v>
      </c>
      <c r="E124" s="8">
        <v>14</v>
      </c>
      <c r="F124" s="8" t="s">
        <v>32</v>
      </c>
      <c r="G124" s="8" t="s">
        <v>38</v>
      </c>
      <c r="H124" s="8" t="s">
        <v>26</v>
      </c>
      <c r="I124" s="8" t="s">
        <v>33</v>
      </c>
      <c r="J124" s="8" t="s">
        <v>39</v>
      </c>
      <c r="K124" s="8" t="s">
        <v>40</v>
      </c>
      <c r="L124" s="8">
        <v>0.43</v>
      </c>
      <c r="M124" s="8" t="s">
        <v>41</v>
      </c>
      <c r="N124" s="8">
        <v>803.47050000000002</v>
      </c>
      <c r="O124" s="9">
        <v>1164.45</v>
      </c>
    </row>
    <row r="125" spans="1:15" x14ac:dyDescent="0.25">
      <c r="A125" s="7" t="s">
        <v>37</v>
      </c>
      <c r="B125" s="8">
        <v>0.05</v>
      </c>
      <c r="C125" s="8">
        <v>63.94</v>
      </c>
      <c r="D125" s="8">
        <v>14.48</v>
      </c>
      <c r="E125" s="8">
        <v>398</v>
      </c>
      <c r="F125" s="8" t="s">
        <v>32</v>
      </c>
      <c r="G125" s="8" t="s">
        <v>17</v>
      </c>
      <c r="H125" s="8" t="s">
        <v>26</v>
      </c>
      <c r="I125" s="8" t="s">
        <v>33</v>
      </c>
      <c r="J125" s="8" t="s">
        <v>39</v>
      </c>
      <c r="K125" s="8" t="s">
        <v>337</v>
      </c>
      <c r="L125" s="8">
        <v>0.46</v>
      </c>
      <c r="M125" s="8" t="s">
        <v>338</v>
      </c>
      <c r="N125" s="8">
        <v>1372.6307999999999</v>
      </c>
      <c r="O125" s="9">
        <v>1989.32</v>
      </c>
    </row>
    <row r="126" spans="1:15" x14ac:dyDescent="0.25">
      <c r="A126" s="7" t="s">
        <v>15</v>
      </c>
      <c r="B126" s="8">
        <v>0.08</v>
      </c>
      <c r="C126" s="8">
        <v>34.99</v>
      </c>
      <c r="D126" s="8">
        <v>7.73</v>
      </c>
      <c r="E126" s="8">
        <v>32</v>
      </c>
      <c r="F126" s="8" t="s">
        <v>32</v>
      </c>
      <c r="G126" s="8" t="s">
        <v>17</v>
      </c>
      <c r="H126" s="8" t="s">
        <v>18</v>
      </c>
      <c r="I126" s="8" t="s">
        <v>19</v>
      </c>
      <c r="J126" s="8" t="s">
        <v>39</v>
      </c>
      <c r="K126" s="8" t="s">
        <v>69</v>
      </c>
      <c r="L126" s="8">
        <v>0.59</v>
      </c>
      <c r="M126" s="8" t="s">
        <v>70</v>
      </c>
      <c r="N126" s="8">
        <v>144.69</v>
      </c>
      <c r="O126" s="9">
        <v>424.68</v>
      </c>
    </row>
    <row r="127" spans="1:15" x14ac:dyDescent="0.25">
      <c r="A127" s="4" t="s">
        <v>15</v>
      </c>
      <c r="B127" s="5">
        <v>0.03</v>
      </c>
      <c r="C127" s="5">
        <v>7.37</v>
      </c>
      <c r="D127" s="5">
        <v>5.53</v>
      </c>
      <c r="E127" s="5">
        <v>202</v>
      </c>
      <c r="F127" s="5" t="s">
        <v>32</v>
      </c>
      <c r="G127" s="5" t="s">
        <v>17</v>
      </c>
      <c r="H127" s="5" t="s">
        <v>52</v>
      </c>
      <c r="I127" s="5" t="s">
        <v>121</v>
      </c>
      <c r="J127" s="5" t="s">
        <v>34</v>
      </c>
      <c r="K127" s="5" t="s">
        <v>201</v>
      </c>
      <c r="L127" s="5">
        <v>0.69</v>
      </c>
      <c r="M127" s="5" t="s">
        <v>200</v>
      </c>
      <c r="N127" s="5">
        <v>-133.69999999999999</v>
      </c>
      <c r="O127" s="6">
        <v>85.79</v>
      </c>
    </row>
    <row r="128" spans="1:15" x14ac:dyDescent="0.25">
      <c r="A128" s="4" t="s">
        <v>23</v>
      </c>
      <c r="B128" s="5">
        <v>0.04</v>
      </c>
      <c r="C128" s="5">
        <v>4.9800000000000004</v>
      </c>
      <c r="D128" s="5">
        <v>4.62</v>
      </c>
      <c r="E128" s="5">
        <v>290</v>
      </c>
      <c r="F128" s="5" t="s">
        <v>32</v>
      </c>
      <c r="G128" s="5" t="s">
        <v>38</v>
      </c>
      <c r="H128" s="5" t="s">
        <v>52</v>
      </c>
      <c r="I128" s="5" t="s">
        <v>121</v>
      </c>
      <c r="J128" s="5" t="s">
        <v>34</v>
      </c>
      <c r="K128" s="5" t="s">
        <v>271</v>
      </c>
      <c r="L128" s="5">
        <v>0.64</v>
      </c>
      <c r="M128" s="5" t="s">
        <v>272</v>
      </c>
      <c r="N128" s="5">
        <v>-135.16</v>
      </c>
      <c r="O128" s="6">
        <v>102.54</v>
      </c>
    </row>
    <row r="129" spans="1:15" x14ac:dyDescent="0.25">
      <c r="A129" s="7" t="s">
        <v>23</v>
      </c>
      <c r="B129" s="8">
        <v>0</v>
      </c>
      <c r="C129" s="8">
        <v>73.98</v>
      </c>
      <c r="D129" s="8">
        <v>12.14</v>
      </c>
      <c r="E129" s="8">
        <v>266</v>
      </c>
      <c r="F129" s="8" t="s">
        <v>16</v>
      </c>
      <c r="G129" s="8" t="s">
        <v>17</v>
      </c>
      <c r="H129" s="8" t="s">
        <v>52</v>
      </c>
      <c r="I129" s="8" t="s">
        <v>121</v>
      </c>
      <c r="J129" s="8" t="s">
        <v>39</v>
      </c>
      <c r="K129" s="8" t="s">
        <v>245</v>
      </c>
      <c r="L129" s="8">
        <v>0.67</v>
      </c>
      <c r="M129" s="8" t="s">
        <v>246</v>
      </c>
      <c r="N129" s="8">
        <v>326.25</v>
      </c>
      <c r="O129" s="9">
        <v>1300.81</v>
      </c>
    </row>
    <row r="130" spans="1:15" x14ac:dyDescent="0.25">
      <c r="A130" s="7" t="s">
        <v>37</v>
      </c>
      <c r="B130" s="8">
        <v>0.05</v>
      </c>
      <c r="C130" s="8">
        <v>2.08</v>
      </c>
      <c r="D130" s="8">
        <v>2.56</v>
      </c>
      <c r="E130" s="8">
        <v>211</v>
      </c>
      <c r="F130" s="8" t="s">
        <v>32</v>
      </c>
      <c r="G130" s="8" t="s">
        <v>25</v>
      </c>
      <c r="H130" s="8" t="s">
        <v>18</v>
      </c>
      <c r="I130" s="8" t="s">
        <v>117</v>
      </c>
      <c r="J130" s="8" t="s">
        <v>34</v>
      </c>
      <c r="K130" s="8" t="s">
        <v>208</v>
      </c>
      <c r="L130" s="8">
        <v>0.55000000000000004</v>
      </c>
      <c r="M130" s="8" t="s">
        <v>207</v>
      </c>
      <c r="N130" s="8">
        <v>-36.25</v>
      </c>
      <c r="O130" s="9">
        <v>42.29</v>
      </c>
    </row>
    <row r="131" spans="1:15" x14ac:dyDescent="0.25">
      <c r="A131" s="7" t="s">
        <v>73</v>
      </c>
      <c r="B131" s="8">
        <v>7.0000000000000007E-2</v>
      </c>
      <c r="C131" s="8">
        <v>154.13</v>
      </c>
      <c r="D131" s="8">
        <v>69</v>
      </c>
      <c r="E131" s="8">
        <v>145</v>
      </c>
      <c r="F131" s="8" t="s">
        <v>16</v>
      </c>
      <c r="G131" s="8" t="s">
        <v>25</v>
      </c>
      <c r="H131" s="8" t="s">
        <v>26</v>
      </c>
      <c r="I131" s="8" t="s">
        <v>102</v>
      </c>
      <c r="J131" s="8" t="s">
        <v>153</v>
      </c>
      <c r="K131" s="8" t="s">
        <v>154</v>
      </c>
      <c r="L131" s="8">
        <v>0.68</v>
      </c>
      <c r="M131" s="8" t="s">
        <v>152</v>
      </c>
      <c r="N131" s="8">
        <v>-634.73410000000001</v>
      </c>
      <c r="O131" s="9">
        <v>453.62</v>
      </c>
    </row>
    <row r="132" spans="1:15" x14ac:dyDescent="0.25">
      <c r="A132" s="4" t="s">
        <v>31</v>
      </c>
      <c r="B132" s="5">
        <v>0.1</v>
      </c>
      <c r="C132" s="5">
        <v>154.13</v>
      </c>
      <c r="D132" s="5">
        <v>69</v>
      </c>
      <c r="E132" s="5">
        <v>397</v>
      </c>
      <c r="F132" s="5" t="s">
        <v>32</v>
      </c>
      <c r="G132" s="5" t="s">
        <v>17</v>
      </c>
      <c r="H132" s="5" t="s">
        <v>26</v>
      </c>
      <c r="I132" s="5" t="s">
        <v>102</v>
      </c>
      <c r="J132" s="5" t="s">
        <v>153</v>
      </c>
      <c r="K132" s="5" t="s">
        <v>154</v>
      </c>
      <c r="L132" s="5">
        <v>0.68</v>
      </c>
      <c r="M132" s="5" t="s">
        <v>336</v>
      </c>
      <c r="N132" s="5">
        <v>-372.48597100000001</v>
      </c>
      <c r="O132" s="6">
        <v>1216.32</v>
      </c>
    </row>
    <row r="133" spans="1:15" x14ac:dyDescent="0.25">
      <c r="A133" s="7" t="s">
        <v>15</v>
      </c>
      <c r="B133" s="8">
        <v>0.03</v>
      </c>
      <c r="C133" s="8">
        <v>28.53</v>
      </c>
      <c r="D133" s="8">
        <v>1.49</v>
      </c>
      <c r="E133" s="8">
        <v>234</v>
      </c>
      <c r="F133" s="8" t="s">
        <v>32</v>
      </c>
      <c r="G133" s="8" t="s">
        <v>38</v>
      </c>
      <c r="H133" s="8" t="s">
        <v>18</v>
      </c>
      <c r="I133" s="8" t="s">
        <v>75</v>
      </c>
      <c r="J133" s="8" t="s">
        <v>39</v>
      </c>
      <c r="K133" s="8" t="s">
        <v>218</v>
      </c>
      <c r="L133" s="8">
        <v>0.38</v>
      </c>
      <c r="M133" s="8" t="s">
        <v>217</v>
      </c>
      <c r="N133" s="8">
        <v>136.33709999999999</v>
      </c>
      <c r="O133" s="9">
        <v>197.59</v>
      </c>
    </row>
    <row r="134" spans="1:15" x14ac:dyDescent="0.25">
      <c r="A134" s="4" t="s">
        <v>31</v>
      </c>
      <c r="B134" s="5">
        <v>0.04</v>
      </c>
      <c r="C134" s="5">
        <v>15.98</v>
      </c>
      <c r="D134" s="5">
        <v>4</v>
      </c>
      <c r="E134" s="5">
        <v>395</v>
      </c>
      <c r="F134" s="5" t="s">
        <v>32</v>
      </c>
      <c r="G134" s="5" t="s">
        <v>17</v>
      </c>
      <c r="H134" s="5" t="s">
        <v>52</v>
      </c>
      <c r="I134" s="5" t="s">
        <v>121</v>
      </c>
      <c r="J134" s="5" t="s">
        <v>39</v>
      </c>
      <c r="K134" s="5" t="s">
        <v>333</v>
      </c>
      <c r="L134" s="5">
        <v>0.37</v>
      </c>
      <c r="M134" s="5" t="s">
        <v>334</v>
      </c>
      <c r="N134" s="5">
        <v>-19.207999999999998</v>
      </c>
      <c r="O134" s="6">
        <v>64.59</v>
      </c>
    </row>
    <row r="135" spans="1:15" x14ac:dyDescent="0.25">
      <c r="A135" s="7" t="s">
        <v>73</v>
      </c>
      <c r="B135" s="8">
        <v>0.04</v>
      </c>
      <c r="C135" s="8">
        <v>125.99</v>
      </c>
      <c r="D135" s="8">
        <v>8.99</v>
      </c>
      <c r="E135" s="8">
        <v>358</v>
      </c>
      <c r="F135" s="8" t="s">
        <v>32</v>
      </c>
      <c r="G135" s="8" t="s">
        <v>17</v>
      </c>
      <c r="H135" s="8" t="s">
        <v>52</v>
      </c>
      <c r="I135" s="8" t="s">
        <v>53</v>
      </c>
      <c r="J135" s="8" t="s">
        <v>39</v>
      </c>
      <c r="K135" s="8" t="s">
        <v>305</v>
      </c>
      <c r="L135" s="8">
        <v>0.59</v>
      </c>
      <c r="M135" s="8" t="s">
        <v>306</v>
      </c>
      <c r="N135" s="8">
        <v>-627.82191999999998</v>
      </c>
      <c r="O135" s="9">
        <v>107.95</v>
      </c>
    </row>
    <row r="136" spans="1:15" x14ac:dyDescent="0.25">
      <c r="A136" s="4" t="s">
        <v>23</v>
      </c>
      <c r="B136" s="5">
        <v>0.05</v>
      </c>
      <c r="C136" s="5">
        <v>10.98</v>
      </c>
      <c r="D136" s="5">
        <v>4.8</v>
      </c>
      <c r="E136" s="5">
        <v>428</v>
      </c>
      <c r="F136" s="5" t="s">
        <v>32</v>
      </c>
      <c r="G136" s="5" t="s">
        <v>17</v>
      </c>
      <c r="H136" s="5" t="s">
        <v>18</v>
      </c>
      <c r="I136" s="5" t="s">
        <v>46</v>
      </c>
      <c r="J136" s="5" t="s">
        <v>39</v>
      </c>
      <c r="K136" s="5" t="s">
        <v>348</v>
      </c>
      <c r="L136" s="5">
        <v>0.36</v>
      </c>
      <c r="M136" s="5" t="s">
        <v>346</v>
      </c>
      <c r="N136" s="5">
        <v>90.62</v>
      </c>
      <c r="O136" s="6">
        <v>243.11</v>
      </c>
    </row>
    <row r="137" spans="1:15" x14ac:dyDescent="0.25">
      <c r="A137" s="4" t="s">
        <v>37</v>
      </c>
      <c r="B137" s="5">
        <v>7.0000000000000007E-2</v>
      </c>
      <c r="C137" s="5">
        <v>7.59</v>
      </c>
      <c r="D137" s="5">
        <v>4</v>
      </c>
      <c r="E137" s="5">
        <v>339</v>
      </c>
      <c r="F137" s="5" t="s">
        <v>32</v>
      </c>
      <c r="G137" s="5" t="s">
        <v>17</v>
      </c>
      <c r="H137" s="5" t="s">
        <v>26</v>
      </c>
      <c r="I137" s="5" t="s">
        <v>33</v>
      </c>
      <c r="J137" s="5" t="s">
        <v>20</v>
      </c>
      <c r="K137" s="5" t="s">
        <v>292</v>
      </c>
      <c r="L137" s="5">
        <v>0.42</v>
      </c>
      <c r="M137" s="5" t="s">
        <v>291</v>
      </c>
      <c r="N137" s="5">
        <v>24.39</v>
      </c>
      <c r="O137" s="6">
        <v>111.88</v>
      </c>
    </row>
    <row r="138" spans="1:15" x14ac:dyDescent="0.25">
      <c r="A138" s="4" t="s">
        <v>31</v>
      </c>
      <c r="B138" s="5">
        <v>0</v>
      </c>
      <c r="C138" s="5">
        <v>7.59</v>
      </c>
      <c r="D138" s="5">
        <v>4</v>
      </c>
      <c r="E138" s="5">
        <v>444</v>
      </c>
      <c r="F138" s="5" t="s">
        <v>32</v>
      </c>
      <c r="G138" s="5" t="s">
        <v>38</v>
      </c>
      <c r="H138" s="5" t="s">
        <v>26</v>
      </c>
      <c r="I138" s="5" t="s">
        <v>33</v>
      </c>
      <c r="J138" s="5" t="s">
        <v>20</v>
      </c>
      <c r="K138" s="5" t="s">
        <v>292</v>
      </c>
      <c r="L138" s="5">
        <v>0.42</v>
      </c>
      <c r="M138" s="5" t="s">
        <v>350</v>
      </c>
      <c r="N138" s="5">
        <v>86.438000000000002</v>
      </c>
      <c r="O138" s="6">
        <v>355.92</v>
      </c>
    </row>
    <row r="139" spans="1:15" x14ac:dyDescent="0.25">
      <c r="A139" s="4" t="s">
        <v>73</v>
      </c>
      <c r="B139" s="5">
        <v>0.08</v>
      </c>
      <c r="C139" s="5">
        <v>4.8899999999999997</v>
      </c>
      <c r="D139" s="5">
        <v>4.93</v>
      </c>
      <c r="E139" s="5">
        <v>353</v>
      </c>
      <c r="F139" s="5" t="s">
        <v>16</v>
      </c>
      <c r="G139" s="5" t="s">
        <v>25</v>
      </c>
      <c r="H139" s="5" t="s">
        <v>52</v>
      </c>
      <c r="I139" s="5" t="s">
        <v>121</v>
      </c>
      <c r="J139" s="5" t="s">
        <v>34</v>
      </c>
      <c r="K139" s="5" t="s">
        <v>300</v>
      </c>
      <c r="L139" s="5">
        <v>0.66</v>
      </c>
      <c r="M139" s="5" t="s">
        <v>301</v>
      </c>
      <c r="N139" s="5">
        <v>-165.45</v>
      </c>
      <c r="O139" s="6">
        <v>84.76</v>
      </c>
    </row>
    <row r="140" spans="1:15" x14ac:dyDescent="0.25">
      <c r="A140" s="4" t="s">
        <v>37</v>
      </c>
      <c r="B140" s="5">
        <v>0.05</v>
      </c>
      <c r="C140" s="5">
        <v>17.48</v>
      </c>
      <c r="D140" s="5">
        <v>1.99</v>
      </c>
      <c r="E140" s="5">
        <v>258</v>
      </c>
      <c r="F140" s="5" t="s">
        <v>32</v>
      </c>
      <c r="G140" s="5" t="s">
        <v>79</v>
      </c>
      <c r="H140" s="5" t="s">
        <v>52</v>
      </c>
      <c r="I140" s="5" t="s">
        <v>121</v>
      </c>
      <c r="J140" s="5" t="s">
        <v>34</v>
      </c>
      <c r="K140" s="5" t="s">
        <v>239</v>
      </c>
      <c r="L140" s="5">
        <v>0.45</v>
      </c>
      <c r="M140" s="5" t="s">
        <v>240</v>
      </c>
      <c r="N140" s="5">
        <v>-127.008</v>
      </c>
      <c r="O140" s="6">
        <v>52.47</v>
      </c>
    </row>
    <row r="141" spans="1:15" x14ac:dyDescent="0.25">
      <c r="A141" s="4" t="s">
        <v>15</v>
      </c>
      <c r="B141" s="5">
        <v>0.01</v>
      </c>
      <c r="C141" s="5">
        <v>15.28</v>
      </c>
      <c r="D141" s="5">
        <v>1.99</v>
      </c>
      <c r="E141" s="5">
        <v>234</v>
      </c>
      <c r="F141" s="5" t="s">
        <v>32</v>
      </c>
      <c r="G141" s="5" t="s">
        <v>38</v>
      </c>
      <c r="H141" s="5" t="s">
        <v>52</v>
      </c>
      <c r="I141" s="5" t="s">
        <v>121</v>
      </c>
      <c r="J141" s="5" t="s">
        <v>34</v>
      </c>
      <c r="K141" s="5" t="s">
        <v>219</v>
      </c>
      <c r="L141" s="5">
        <v>0.42</v>
      </c>
      <c r="M141" s="5" t="s">
        <v>217</v>
      </c>
      <c r="N141" s="5">
        <v>-12.46</v>
      </c>
      <c r="O141" s="6">
        <v>33.04</v>
      </c>
    </row>
    <row r="142" spans="1:15" x14ac:dyDescent="0.25">
      <c r="A142" s="4" t="s">
        <v>15</v>
      </c>
      <c r="B142" s="5">
        <v>0.02</v>
      </c>
      <c r="C142" s="5">
        <v>15.28</v>
      </c>
      <c r="D142" s="5">
        <v>1.99</v>
      </c>
      <c r="E142" s="5">
        <v>428</v>
      </c>
      <c r="F142" s="5" t="s">
        <v>32</v>
      </c>
      <c r="G142" s="5" t="s">
        <v>17</v>
      </c>
      <c r="H142" s="5" t="s">
        <v>52</v>
      </c>
      <c r="I142" s="5" t="s">
        <v>121</v>
      </c>
      <c r="J142" s="5" t="s">
        <v>34</v>
      </c>
      <c r="K142" s="5" t="s">
        <v>219</v>
      </c>
      <c r="L142" s="5">
        <v>0.42</v>
      </c>
      <c r="M142" s="5" t="s">
        <v>346</v>
      </c>
      <c r="N142" s="5">
        <v>163.1574</v>
      </c>
      <c r="O142" s="6">
        <v>236.46</v>
      </c>
    </row>
    <row r="143" spans="1:15" x14ac:dyDescent="0.25">
      <c r="A143" s="4" t="s">
        <v>31</v>
      </c>
      <c r="B143" s="5">
        <v>0.09</v>
      </c>
      <c r="C143" s="5">
        <v>28.48</v>
      </c>
      <c r="D143" s="5">
        <v>1.99</v>
      </c>
      <c r="E143" s="5">
        <v>288</v>
      </c>
      <c r="F143" s="5" t="s">
        <v>32</v>
      </c>
      <c r="G143" s="5" t="s">
        <v>38</v>
      </c>
      <c r="H143" s="5" t="s">
        <v>52</v>
      </c>
      <c r="I143" s="5" t="s">
        <v>121</v>
      </c>
      <c r="J143" s="5" t="s">
        <v>34</v>
      </c>
      <c r="K143" s="5" t="s">
        <v>268</v>
      </c>
      <c r="L143" s="5">
        <v>0.4</v>
      </c>
      <c r="M143" s="5" t="s">
        <v>269</v>
      </c>
      <c r="N143" s="5">
        <v>132.68700000000001</v>
      </c>
      <c r="O143" s="6">
        <v>192.3</v>
      </c>
    </row>
    <row r="144" spans="1:15" x14ac:dyDescent="0.25">
      <c r="A144" s="7" t="s">
        <v>73</v>
      </c>
      <c r="B144" s="8">
        <v>0.1</v>
      </c>
      <c r="C144" s="8">
        <v>39.979999999999997</v>
      </c>
      <c r="D144" s="8">
        <v>4</v>
      </c>
      <c r="E144" s="8">
        <v>152</v>
      </c>
      <c r="F144" s="8" t="s">
        <v>32</v>
      </c>
      <c r="G144" s="8" t="s">
        <v>38</v>
      </c>
      <c r="H144" s="8" t="s">
        <v>52</v>
      </c>
      <c r="I144" s="8" t="s">
        <v>121</v>
      </c>
      <c r="J144" s="8" t="s">
        <v>39</v>
      </c>
      <c r="K144" s="8" t="s">
        <v>165</v>
      </c>
      <c r="L144" s="8">
        <v>0.7</v>
      </c>
      <c r="M144" s="8" t="s">
        <v>162</v>
      </c>
      <c r="N144" s="8">
        <v>360.24</v>
      </c>
      <c r="O144" s="9">
        <v>772.56</v>
      </c>
    </row>
    <row r="145" spans="1:15" x14ac:dyDescent="0.25">
      <c r="A145" s="7" t="s">
        <v>31</v>
      </c>
      <c r="B145" s="8">
        <v>0.08</v>
      </c>
      <c r="C145" s="8">
        <v>65.989999999999995</v>
      </c>
      <c r="D145" s="8">
        <v>4.99</v>
      </c>
      <c r="E145" s="8">
        <v>288</v>
      </c>
      <c r="F145" s="8" t="s">
        <v>16</v>
      </c>
      <c r="G145" s="8" t="s">
        <v>38</v>
      </c>
      <c r="H145" s="8" t="s">
        <v>52</v>
      </c>
      <c r="I145" s="8" t="s">
        <v>53</v>
      </c>
      <c r="J145" s="8" t="s">
        <v>39</v>
      </c>
      <c r="K145" s="8" t="s">
        <v>270</v>
      </c>
      <c r="L145" s="8">
        <v>0.57999999999999996</v>
      </c>
      <c r="M145" s="8" t="s">
        <v>269</v>
      </c>
      <c r="N145" s="8">
        <v>496.89</v>
      </c>
      <c r="O145" s="9">
        <v>748.1</v>
      </c>
    </row>
    <row r="146" spans="1:15" x14ac:dyDescent="0.25">
      <c r="A146" s="7" t="s">
        <v>23</v>
      </c>
      <c r="B146" s="8">
        <v>7.0000000000000007E-2</v>
      </c>
      <c r="C146" s="8">
        <v>179.99</v>
      </c>
      <c r="D146" s="8">
        <v>19.989999999999998</v>
      </c>
      <c r="E146" s="8">
        <v>471</v>
      </c>
      <c r="F146" s="8" t="s">
        <v>16</v>
      </c>
      <c r="G146" s="8" t="s">
        <v>79</v>
      </c>
      <c r="H146" s="8" t="s">
        <v>52</v>
      </c>
      <c r="I146" s="8" t="s">
        <v>121</v>
      </c>
      <c r="J146" s="8" t="s">
        <v>39</v>
      </c>
      <c r="K146" s="8" t="s">
        <v>376</v>
      </c>
      <c r="L146" s="8">
        <v>0.48</v>
      </c>
      <c r="M146" s="8" t="s">
        <v>377</v>
      </c>
      <c r="N146" s="8">
        <v>-568.53510000000006</v>
      </c>
      <c r="O146" s="9">
        <v>718.03</v>
      </c>
    </row>
    <row r="147" spans="1:15" x14ac:dyDescent="0.25">
      <c r="A147" s="4" t="s">
        <v>23</v>
      </c>
      <c r="B147" s="5">
        <v>7.0000000000000007E-2</v>
      </c>
      <c r="C147" s="5">
        <v>179.99</v>
      </c>
      <c r="D147" s="5">
        <v>19.989999999999998</v>
      </c>
      <c r="E147" s="5">
        <v>472</v>
      </c>
      <c r="F147" s="5" t="s">
        <v>16</v>
      </c>
      <c r="G147" s="5" t="s">
        <v>79</v>
      </c>
      <c r="H147" s="5" t="s">
        <v>52</v>
      </c>
      <c r="I147" s="5" t="s">
        <v>121</v>
      </c>
      <c r="J147" s="5" t="s">
        <v>39</v>
      </c>
      <c r="K147" s="5" t="s">
        <v>376</v>
      </c>
      <c r="L147" s="5">
        <v>0.48</v>
      </c>
      <c r="M147" s="5" t="s">
        <v>378</v>
      </c>
      <c r="N147" s="5">
        <v>-427.47</v>
      </c>
      <c r="O147" s="6">
        <v>179.51</v>
      </c>
    </row>
    <row r="148" spans="1:15" x14ac:dyDescent="0.25">
      <c r="A148" s="4" t="s">
        <v>37</v>
      </c>
      <c r="B148" s="5">
        <v>0</v>
      </c>
      <c r="C148" s="5">
        <v>11.55</v>
      </c>
      <c r="D148" s="5">
        <v>2.36</v>
      </c>
      <c r="E148" s="5">
        <v>210</v>
      </c>
      <c r="F148" s="5" t="s">
        <v>32</v>
      </c>
      <c r="G148" s="5" t="s">
        <v>25</v>
      </c>
      <c r="H148" s="5" t="s">
        <v>18</v>
      </c>
      <c r="I148" s="5" t="s">
        <v>19</v>
      </c>
      <c r="J148" s="5" t="s">
        <v>20</v>
      </c>
      <c r="K148" s="5" t="s">
        <v>206</v>
      </c>
      <c r="L148" s="5">
        <v>0.55000000000000004</v>
      </c>
      <c r="M148" s="5" t="s">
        <v>203</v>
      </c>
      <c r="N148" s="5">
        <v>23.594999999999999</v>
      </c>
      <c r="O148" s="6">
        <v>62.98</v>
      </c>
    </row>
    <row r="149" spans="1:15" x14ac:dyDescent="0.25">
      <c r="A149" s="4" t="s">
        <v>37</v>
      </c>
      <c r="B149" s="5">
        <v>0.06</v>
      </c>
      <c r="C149" s="5">
        <v>1.76</v>
      </c>
      <c r="D149" s="5">
        <v>0.7</v>
      </c>
      <c r="E149" s="5">
        <v>56</v>
      </c>
      <c r="F149" s="5" t="s">
        <v>32</v>
      </c>
      <c r="G149" s="5" t="s">
        <v>79</v>
      </c>
      <c r="H149" s="5" t="s">
        <v>18</v>
      </c>
      <c r="I149" s="5" t="s">
        <v>19</v>
      </c>
      <c r="J149" s="5" t="s">
        <v>20</v>
      </c>
      <c r="K149" s="5" t="s">
        <v>88</v>
      </c>
      <c r="L149" s="5">
        <v>0.56000000000000005</v>
      </c>
      <c r="M149" s="5" t="s">
        <v>87</v>
      </c>
      <c r="N149" s="5">
        <v>-1.6524000000000001</v>
      </c>
      <c r="O149" s="6">
        <v>29.57</v>
      </c>
    </row>
    <row r="150" spans="1:15" x14ac:dyDescent="0.25">
      <c r="A150" s="4" t="s">
        <v>37</v>
      </c>
      <c r="B150" s="5">
        <v>0.08</v>
      </c>
      <c r="C150" s="5">
        <v>3.28</v>
      </c>
      <c r="D150" s="5">
        <v>2.31</v>
      </c>
      <c r="E150" s="5">
        <v>14</v>
      </c>
      <c r="F150" s="5" t="s">
        <v>32</v>
      </c>
      <c r="G150" s="5" t="s">
        <v>38</v>
      </c>
      <c r="H150" s="5" t="s">
        <v>18</v>
      </c>
      <c r="I150" s="5" t="s">
        <v>19</v>
      </c>
      <c r="J150" s="5" t="s">
        <v>20</v>
      </c>
      <c r="K150" s="5" t="s">
        <v>42</v>
      </c>
      <c r="L150" s="5">
        <v>0.56000000000000005</v>
      </c>
      <c r="M150" s="5" t="s">
        <v>41</v>
      </c>
      <c r="N150" s="5">
        <v>-24.03</v>
      </c>
      <c r="O150" s="6">
        <v>22.23</v>
      </c>
    </row>
    <row r="151" spans="1:15" x14ac:dyDescent="0.25">
      <c r="A151" s="7" t="s">
        <v>15</v>
      </c>
      <c r="B151" s="8">
        <v>0.02</v>
      </c>
      <c r="C151" s="8">
        <v>1.68</v>
      </c>
      <c r="D151" s="8">
        <v>1.57</v>
      </c>
      <c r="E151" s="8">
        <v>24</v>
      </c>
      <c r="F151" s="8" t="s">
        <v>32</v>
      </c>
      <c r="G151" s="8" t="s">
        <v>17</v>
      </c>
      <c r="H151" s="8" t="s">
        <v>18</v>
      </c>
      <c r="I151" s="8" t="s">
        <v>19</v>
      </c>
      <c r="J151" s="8" t="s">
        <v>20</v>
      </c>
      <c r="K151" s="8" t="s">
        <v>66</v>
      </c>
      <c r="L151" s="8">
        <v>0.59</v>
      </c>
      <c r="M151" s="8" t="s">
        <v>65</v>
      </c>
      <c r="N151" s="8">
        <v>-5.3071999999999999</v>
      </c>
      <c r="O151" s="9">
        <v>2.25</v>
      </c>
    </row>
    <row r="152" spans="1:15" x14ac:dyDescent="0.25">
      <c r="A152" s="4" t="s">
        <v>15</v>
      </c>
      <c r="B152" s="5">
        <v>7.0000000000000007E-2</v>
      </c>
      <c r="C152" s="5">
        <v>1.68</v>
      </c>
      <c r="D152" s="5">
        <v>1.57</v>
      </c>
      <c r="E152" s="5">
        <v>181</v>
      </c>
      <c r="F152" s="5" t="s">
        <v>32</v>
      </c>
      <c r="G152" s="5" t="s">
        <v>17</v>
      </c>
      <c r="H152" s="5" t="s">
        <v>18</v>
      </c>
      <c r="I152" s="5" t="s">
        <v>19</v>
      </c>
      <c r="J152" s="5" t="s">
        <v>20</v>
      </c>
      <c r="K152" s="5" t="s">
        <v>66</v>
      </c>
      <c r="L152" s="5">
        <v>0.59</v>
      </c>
      <c r="M152" s="5" t="s">
        <v>182</v>
      </c>
      <c r="N152" s="5">
        <v>-35.75</v>
      </c>
      <c r="O152" s="6">
        <v>186.59</v>
      </c>
    </row>
    <row r="153" spans="1:15" x14ac:dyDescent="0.25">
      <c r="A153" s="7" t="s">
        <v>15</v>
      </c>
      <c r="B153" s="8">
        <v>7.0000000000000007E-2</v>
      </c>
      <c r="C153" s="8">
        <v>1.68</v>
      </c>
      <c r="D153" s="8">
        <v>1.57</v>
      </c>
      <c r="E153" s="8">
        <v>188</v>
      </c>
      <c r="F153" s="8" t="s">
        <v>32</v>
      </c>
      <c r="G153" s="8" t="s">
        <v>17</v>
      </c>
      <c r="H153" s="8" t="s">
        <v>18</v>
      </c>
      <c r="I153" s="8" t="s">
        <v>19</v>
      </c>
      <c r="J153" s="8" t="s">
        <v>20</v>
      </c>
      <c r="K153" s="8" t="s">
        <v>66</v>
      </c>
      <c r="L153" s="8">
        <v>0.59</v>
      </c>
      <c r="M153" s="8" t="s">
        <v>185</v>
      </c>
      <c r="N153" s="8">
        <v>7.15</v>
      </c>
      <c r="O153" s="9">
        <v>46.65</v>
      </c>
    </row>
    <row r="154" spans="1:15" x14ac:dyDescent="0.25">
      <c r="A154" s="7" t="s">
        <v>15</v>
      </c>
      <c r="B154" s="8">
        <v>0.1</v>
      </c>
      <c r="C154" s="8">
        <v>1.68</v>
      </c>
      <c r="D154" s="8">
        <v>1.57</v>
      </c>
      <c r="E154" s="8">
        <v>283</v>
      </c>
      <c r="F154" s="8" t="s">
        <v>32</v>
      </c>
      <c r="G154" s="8" t="s">
        <v>17</v>
      </c>
      <c r="H154" s="8" t="s">
        <v>18</v>
      </c>
      <c r="I154" s="8" t="s">
        <v>19</v>
      </c>
      <c r="J154" s="8" t="s">
        <v>20</v>
      </c>
      <c r="K154" s="8" t="s">
        <v>66</v>
      </c>
      <c r="L154" s="8">
        <v>0.59</v>
      </c>
      <c r="M154" s="8" t="s">
        <v>264</v>
      </c>
      <c r="N154" s="8">
        <v>-11.57</v>
      </c>
      <c r="O154" s="9">
        <v>18.71</v>
      </c>
    </row>
    <row r="155" spans="1:15" x14ac:dyDescent="0.25">
      <c r="A155" s="7" t="s">
        <v>15</v>
      </c>
      <c r="B155" s="8">
        <v>0.09</v>
      </c>
      <c r="C155" s="8">
        <v>2.78</v>
      </c>
      <c r="D155" s="8">
        <v>0.97</v>
      </c>
      <c r="E155" s="8">
        <v>445</v>
      </c>
      <c r="F155" s="8" t="s">
        <v>32</v>
      </c>
      <c r="G155" s="8" t="s">
        <v>38</v>
      </c>
      <c r="H155" s="8" t="s">
        <v>18</v>
      </c>
      <c r="I155" s="8" t="s">
        <v>19</v>
      </c>
      <c r="J155" s="8" t="s">
        <v>20</v>
      </c>
      <c r="K155" s="8" t="s">
        <v>353</v>
      </c>
      <c r="L155" s="8">
        <v>0.59</v>
      </c>
      <c r="M155" s="8" t="s">
        <v>352</v>
      </c>
      <c r="N155" s="8">
        <v>-3.7839999999999998</v>
      </c>
      <c r="O155" s="9">
        <v>29.02</v>
      </c>
    </row>
    <row r="156" spans="1:15" x14ac:dyDescent="0.25">
      <c r="A156" s="4" t="s">
        <v>31</v>
      </c>
      <c r="B156" s="5">
        <v>0.09</v>
      </c>
      <c r="C156" s="5">
        <v>2.88</v>
      </c>
      <c r="D156" s="5">
        <v>0.7</v>
      </c>
      <c r="E156" s="5">
        <v>152</v>
      </c>
      <c r="F156" s="5" t="s">
        <v>32</v>
      </c>
      <c r="G156" s="5" t="s">
        <v>79</v>
      </c>
      <c r="H156" s="5" t="s">
        <v>18</v>
      </c>
      <c r="I156" s="5" t="s">
        <v>19</v>
      </c>
      <c r="J156" s="5" t="s">
        <v>20</v>
      </c>
      <c r="K156" s="5" t="s">
        <v>161</v>
      </c>
      <c r="L156" s="5">
        <v>0.56000000000000005</v>
      </c>
      <c r="M156" s="5" t="s">
        <v>162</v>
      </c>
      <c r="N156" s="5">
        <v>-172.71799999999999</v>
      </c>
      <c r="O156" s="6">
        <v>5.5</v>
      </c>
    </row>
    <row r="157" spans="1:15" x14ac:dyDescent="0.25">
      <c r="A157" s="4" t="s">
        <v>23</v>
      </c>
      <c r="B157" s="5">
        <v>0.04</v>
      </c>
      <c r="C157" s="5">
        <v>2.94</v>
      </c>
      <c r="D157" s="5">
        <v>0.7</v>
      </c>
      <c r="E157" s="5">
        <v>33</v>
      </c>
      <c r="F157" s="5" t="s">
        <v>32</v>
      </c>
      <c r="G157" s="5" t="s">
        <v>17</v>
      </c>
      <c r="H157" s="5" t="s">
        <v>18</v>
      </c>
      <c r="I157" s="5" t="s">
        <v>19</v>
      </c>
      <c r="J157" s="5" t="s">
        <v>20</v>
      </c>
      <c r="K157" s="5" t="s">
        <v>78</v>
      </c>
      <c r="L157" s="5">
        <v>0.57999999999999996</v>
      </c>
      <c r="M157" s="5" t="s">
        <v>77</v>
      </c>
      <c r="N157" s="5">
        <v>24.312000000000001</v>
      </c>
      <c r="O157" s="6">
        <v>53.1</v>
      </c>
    </row>
    <row r="158" spans="1:15" x14ac:dyDescent="0.25">
      <c r="A158" s="7" t="s">
        <v>73</v>
      </c>
      <c r="B158" s="8">
        <v>0.09</v>
      </c>
      <c r="C158" s="8">
        <v>2.88</v>
      </c>
      <c r="D158" s="8">
        <v>0.7</v>
      </c>
      <c r="E158" s="8">
        <v>259</v>
      </c>
      <c r="F158" s="8" t="s">
        <v>32</v>
      </c>
      <c r="G158" s="8" t="s">
        <v>79</v>
      </c>
      <c r="H158" s="8" t="s">
        <v>18</v>
      </c>
      <c r="I158" s="8" t="s">
        <v>19</v>
      </c>
      <c r="J158" s="8" t="s">
        <v>20</v>
      </c>
      <c r="K158" s="8" t="s">
        <v>241</v>
      </c>
      <c r="L158" s="8">
        <v>0.56000000000000005</v>
      </c>
      <c r="M158" s="8" t="s">
        <v>242</v>
      </c>
      <c r="N158" s="8">
        <v>5.7531999999999996</v>
      </c>
      <c r="O158" s="9">
        <v>26.38</v>
      </c>
    </row>
    <row r="159" spans="1:15" x14ac:dyDescent="0.25">
      <c r="A159" s="7" t="s">
        <v>37</v>
      </c>
      <c r="B159" s="8">
        <v>0.05</v>
      </c>
      <c r="C159" s="8">
        <v>3.28</v>
      </c>
      <c r="D159" s="8">
        <v>4.2</v>
      </c>
      <c r="E159" s="8">
        <v>14</v>
      </c>
      <c r="F159" s="8" t="s">
        <v>32</v>
      </c>
      <c r="G159" s="8" t="s">
        <v>38</v>
      </c>
      <c r="H159" s="8" t="s">
        <v>18</v>
      </c>
      <c r="I159" s="8" t="s">
        <v>19</v>
      </c>
      <c r="J159" s="8" t="s">
        <v>20</v>
      </c>
      <c r="K159" s="8" t="s">
        <v>43</v>
      </c>
      <c r="L159" s="8">
        <v>0.56000000000000005</v>
      </c>
      <c r="M159" s="8" t="s">
        <v>41</v>
      </c>
      <c r="N159" s="8">
        <v>-37.03</v>
      </c>
      <c r="O159" s="9">
        <v>13.99</v>
      </c>
    </row>
    <row r="160" spans="1:15" x14ac:dyDescent="0.25">
      <c r="A160" s="4" t="s">
        <v>23</v>
      </c>
      <c r="B160" s="5">
        <v>0.04</v>
      </c>
      <c r="C160" s="5">
        <v>130.97999999999999</v>
      </c>
      <c r="D160" s="5">
        <v>30</v>
      </c>
      <c r="E160" s="5">
        <v>447</v>
      </c>
      <c r="F160" s="5" t="s">
        <v>24</v>
      </c>
      <c r="G160" s="5" t="s">
        <v>17</v>
      </c>
      <c r="H160" s="5" t="s">
        <v>26</v>
      </c>
      <c r="I160" s="5" t="s">
        <v>27</v>
      </c>
      <c r="J160" s="5" t="s">
        <v>28</v>
      </c>
      <c r="K160" s="5" t="s">
        <v>354</v>
      </c>
      <c r="L160" s="5">
        <v>0.78</v>
      </c>
      <c r="M160" s="5" t="s">
        <v>355</v>
      </c>
      <c r="N160" s="5">
        <v>-82.903999999999996</v>
      </c>
      <c r="O160" s="6">
        <v>159.51</v>
      </c>
    </row>
    <row r="161" spans="1:15" x14ac:dyDescent="0.25">
      <c r="A161" s="7" t="s">
        <v>23</v>
      </c>
      <c r="B161" s="8">
        <v>0.04</v>
      </c>
      <c r="C161" s="8">
        <v>160.97999999999999</v>
      </c>
      <c r="D161" s="8">
        <v>30</v>
      </c>
      <c r="E161" s="8">
        <v>94</v>
      </c>
      <c r="F161" s="8" t="s">
        <v>24</v>
      </c>
      <c r="G161" s="8" t="s">
        <v>25</v>
      </c>
      <c r="H161" s="8" t="s">
        <v>26</v>
      </c>
      <c r="I161" s="8" t="s">
        <v>27</v>
      </c>
      <c r="J161" s="8" t="s">
        <v>28</v>
      </c>
      <c r="K161" s="8" t="s">
        <v>119</v>
      </c>
      <c r="L161" s="8">
        <v>0.62</v>
      </c>
      <c r="M161" s="8" t="s">
        <v>120</v>
      </c>
      <c r="N161" s="8">
        <v>116.1</v>
      </c>
      <c r="O161" s="9">
        <v>6276.34</v>
      </c>
    </row>
    <row r="162" spans="1:15" x14ac:dyDescent="0.25">
      <c r="A162" s="7" t="s">
        <v>23</v>
      </c>
      <c r="B162" s="8">
        <v>0.04</v>
      </c>
      <c r="C162" s="8">
        <v>160.97999999999999</v>
      </c>
      <c r="D162" s="8">
        <v>30</v>
      </c>
      <c r="E162" s="8">
        <v>97</v>
      </c>
      <c r="F162" s="8" t="s">
        <v>24</v>
      </c>
      <c r="G162" s="8" t="s">
        <v>25</v>
      </c>
      <c r="H162" s="8" t="s">
        <v>26</v>
      </c>
      <c r="I162" s="8" t="s">
        <v>27</v>
      </c>
      <c r="J162" s="8" t="s">
        <v>28</v>
      </c>
      <c r="K162" s="8" t="s">
        <v>119</v>
      </c>
      <c r="L162" s="8">
        <v>0.62</v>
      </c>
      <c r="M162" s="8" t="s">
        <v>123</v>
      </c>
      <c r="N162" s="8">
        <v>255.42</v>
      </c>
      <c r="O162" s="9">
        <v>1526.68</v>
      </c>
    </row>
    <row r="163" spans="1:15" x14ac:dyDescent="0.25">
      <c r="A163" s="4" t="s">
        <v>73</v>
      </c>
      <c r="B163" s="5">
        <v>0.03</v>
      </c>
      <c r="C163" s="5">
        <v>160.97999999999999</v>
      </c>
      <c r="D163" s="5">
        <v>30</v>
      </c>
      <c r="E163" s="5">
        <v>389</v>
      </c>
      <c r="F163" s="5" t="s">
        <v>24</v>
      </c>
      <c r="G163" s="5" t="s">
        <v>17</v>
      </c>
      <c r="H163" s="5" t="s">
        <v>26</v>
      </c>
      <c r="I163" s="5" t="s">
        <v>27</v>
      </c>
      <c r="J163" s="5" t="s">
        <v>28</v>
      </c>
      <c r="K163" s="5" t="s">
        <v>119</v>
      </c>
      <c r="L163" s="5">
        <v>0.62</v>
      </c>
      <c r="M163" s="5" t="s">
        <v>327</v>
      </c>
      <c r="N163" s="5">
        <v>1273.2086999999999</v>
      </c>
      <c r="O163" s="6">
        <v>1845.23</v>
      </c>
    </row>
    <row r="164" spans="1:15" x14ac:dyDescent="0.25">
      <c r="A164" s="4" t="s">
        <v>37</v>
      </c>
      <c r="B164" s="5">
        <v>0.05</v>
      </c>
      <c r="C164" s="5">
        <v>3.58</v>
      </c>
      <c r="D164" s="5">
        <v>1.63</v>
      </c>
      <c r="E164" s="5">
        <v>14</v>
      </c>
      <c r="F164" s="5" t="s">
        <v>32</v>
      </c>
      <c r="G164" s="5" t="s">
        <v>38</v>
      </c>
      <c r="H164" s="5" t="s">
        <v>18</v>
      </c>
      <c r="I164" s="5" t="s">
        <v>44</v>
      </c>
      <c r="J164" s="5" t="s">
        <v>20</v>
      </c>
      <c r="K164" s="5" t="s">
        <v>45</v>
      </c>
      <c r="L164" s="5">
        <v>0.36</v>
      </c>
      <c r="M164" s="5" t="s">
        <v>41</v>
      </c>
      <c r="N164" s="5">
        <v>-0.71</v>
      </c>
      <c r="O164" s="6">
        <v>14.26</v>
      </c>
    </row>
    <row r="165" spans="1:15" x14ac:dyDescent="0.25">
      <c r="A165" s="4" t="s">
        <v>73</v>
      </c>
      <c r="B165" s="5">
        <v>0.08</v>
      </c>
      <c r="C165" s="5">
        <v>399.98</v>
      </c>
      <c r="D165" s="5">
        <v>12.06</v>
      </c>
      <c r="E165" s="5">
        <v>166</v>
      </c>
      <c r="F165" s="5" t="s">
        <v>24</v>
      </c>
      <c r="G165" s="5" t="s">
        <v>79</v>
      </c>
      <c r="H165" s="5" t="s">
        <v>52</v>
      </c>
      <c r="I165" s="5" t="s">
        <v>57</v>
      </c>
      <c r="J165" s="5" t="s">
        <v>83</v>
      </c>
      <c r="K165" s="5" t="s">
        <v>173</v>
      </c>
      <c r="L165" s="5">
        <v>0.56000000000000005</v>
      </c>
      <c r="M165" s="5" t="s">
        <v>174</v>
      </c>
      <c r="N165" s="5">
        <v>28.514099999999999</v>
      </c>
      <c r="O165" s="6">
        <v>1839.91</v>
      </c>
    </row>
    <row r="166" spans="1:15" x14ac:dyDescent="0.25">
      <c r="A166" s="4" t="s">
        <v>23</v>
      </c>
      <c r="B166" s="5">
        <v>0</v>
      </c>
      <c r="C166" s="5">
        <v>442.14</v>
      </c>
      <c r="D166" s="5">
        <v>14.7</v>
      </c>
      <c r="E166" s="5">
        <v>236</v>
      </c>
      <c r="F166" s="5" t="s">
        <v>24</v>
      </c>
      <c r="G166" s="5" t="s">
        <v>17</v>
      </c>
      <c r="H166" s="5" t="s">
        <v>52</v>
      </c>
      <c r="I166" s="5" t="s">
        <v>57</v>
      </c>
      <c r="J166" s="5" t="s">
        <v>28</v>
      </c>
      <c r="K166" s="5" t="s">
        <v>221</v>
      </c>
      <c r="L166" s="5">
        <v>0.56000000000000005</v>
      </c>
      <c r="M166" s="5" t="s">
        <v>222</v>
      </c>
      <c r="N166" s="5">
        <v>3294.8258999999998</v>
      </c>
      <c r="O166" s="6">
        <v>4775.1099999999997</v>
      </c>
    </row>
    <row r="167" spans="1:15" x14ac:dyDescent="0.25">
      <c r="A167" s="7" t="s">
        <v>31</v>
      </c>
      <c r="B167" s="8">
        <v>7.0000000000000007E-2</v>
      </c>
      <c r="C167" s="8">
        <v>3502.14</v>
      </c>
      <c r="D167" s="8">
        <v>8.73</v>
      </c>
      <c r="E167" s="8">
        <v>53</v>
      </c>
      <c r="F167" s="8" t="s">
        <v>24</v>
      </c>
      <c r="G167" s="8" t="s">
        <v>17</v>
      </c>
      <c r="H167" s="8" t="s">
        <v>52</v>
      </c>
      <c r="I167" s="8" t="s">
        <v>57</v>
      </c>
      <c r="J167" s="8" t="s">
        <v>83</v>
      </c>
      <c r="K167" s="8" t="s">
        <v>84</v>
      </c>
      <c r="L167" s="8">
        <v>0.56999999999999995</v>
      </c>
      <c r="M167" s="8" t="s">
        <v>81</v>
      </c>
      <c r="N167" s="8">
        <v>-6923.5991999999997</v>
      </c>
      <c r="O167" s="9">
        <v>3267.55</v>
      </c>
    </row>
    <row r="168" spans="1:15" x14ac:dyDescent="0.25">
      <c r="A168" s="7" t="s">
        <v>73</v>
      </c>
      <c r="B168" s="8">
        <v>0.1</v>
      </c>
      <c r="C168" s="8">
        <v>130.97999999999999</v>
      </c>
      <c r="D168" s="8">
        <v>54.74</v>
      </c>
      <c r="E168" s="8">
        <v>286</v>
      </c>
      <c r="F168" s="8" t="s">
        <v>24</v>
      </c>
      <c r="G168" s="8" t="s">
        <v>38</v>
      </c>
      <c r="H168" s="8" t="s">
        <v>26</v>
      </c>
      <c r="I168" s="8" t="s">
        <v>126</v>
      </c>
      <c r="J168" s="8" t="s">
        <v>83</v>
      </c>
      <c r="K168" s="8" t="s">
        <v>267</v>
      </c>
      <c r="L168" s="8">
        <v>0.69</v>
      </c>
      <c r="M168" s="8" t="s">
        <v>266</v>
      </c>
      <c r="N168" s="8">
        <v>-530.24</v>
      </c>
      <c r="O168" s="9">
        <v>1155.73</v>
      </c>
    </row>
    <row r="169" spans="1:15" x14ac:dyDescent="0.25">
      <c r="A169" s="4" t="s">
        <v>23</v>
      </c>
      <c r="B169" s="5">
        <v>0.02</v>
      </c>
      <c r="C169" s="5">
        <v>200.98</v>
      </c>
      <c r="D169" s="5">
        <v>55.96</v>
      </c>
      <c r="E169" s="5">
        <v>373</v>
      </c>
      <c r="F169" s="5" t="s">
        <v>24</v>
      </c>
      <c r="G169" s="5" t="s">
        <v>38</v>
      </c>
      <c r="H169" s="5" t="s">
        <v>26</v>
      </c>
      <c r="I169" s="5" t="s">
        <v>126</v>
      </c>
      <c r="J169" s="5" t="s">
        <v>83</v>
      </c>
      <c r="K169" s="5" t="s">
        <v>314</v>
      </c>
      <c r="L169" s="5">
        <v>0.75</v>
      </c>
      <c r="M169" s="5" t="s">
        <v>198</v>
      </c>
      <c r="N169" s="5">
        <v>-163.63</v>
      </c>
      <c r="O169" s="6">
        <v>9539.6</v>
      </c>
    </row>
    <row r="170" spans="1:15" x14ac:dyDescent="0.25">
      <c r="A170" s="7" t="s">
        <v>23</v>
      </c>
      <c r="B170" s="8">
        <v>0.02</v>
      </c>
      <c r="C170" s="8">
        <v>200.98</v>
      </c>
      <c r="D170" s="8">
        <v>55.96</v>
      </c>
      <c r="E170" s="8">
        <v>375</v>
      </c>
      <c r="F170" s="8" t="s">
        <v>24</v>
      </c>
      <c r="G170" s="8" t="s">
        <v>38</v>
      </c>
      <c r="H170" s="8" t="s">
        <v>26</v>
      </c>
      <c r="I170" s="8" t="s">
        <v>126</v>
      </c>
      <c r="J170" s="8" t="s">
        <v>83</v>
      </c>
      <c r="K170" s="8" t="s">
        <v>314</v>
      </c>
      <c r="L170" s="8">
        <v>0.75</v>
      </c>
      <c r="M170" s="8" t="s">
        <v>317</v>
      </c>
      <c r="N170" s="8">
        <v>-224.9478</v>
      </c>
      <c r="O170" s="9">
        <v>2331.9</v>
      </c>
    </row>
    <row r="171" spans="1:15" x14ac:dyDescent="0.25">
      <c r="A171" s="4" t="s">
        <v>15</v>
      </c>
      <c r="B171" s="5">
        <v>0.09</v>
      </c>
      <c r="C171" s="5">
        <v>200.98</v>
      </c>
      <c r="D171" s="5">
        <v>55.96</v>
      </c>
      <c r="E171" s="5">
        <v>445</v>
      </c>
      <c r="F171" s="5" t="s">
        <v>24</v>
      </c>
      <c r="G171" s="5" t="s">
        <v>38</v>
      </c>
      <c r="H171" s="5" t="s">
        <v>26</v>
      </c>
      <c r="I171" s="5" t="s">
        <v>126</v>
      </c>
      <c r="J171" s="5" t="s">
        <v>83</v>
      </c>
      <c r="K171" s="5" t="s">
        <v>314</v>
      </c>
      <c r="L171" s="5">
        <v>0.75</v>
      </c>
      <c r="M171" s="5" t="s">
        <v>352</v>
      </c>
      <c r="N171" s="5">
        <v>-512.87199999999996</v>
      </c>
      <c r="O171" s="6">
        <v>1766.68</v>
      </c>
    </row>
    <row r="172" spans="1:15" x14ac:dyDescent="0.25">
      <c r="A172" s="7" t="s">
        <v>23</v>
      </c>
      <c r="B172" s="8">
        <v>0</v>
      </c>
      <c r="C172" s="8">
        <v>213.45</v>
      </c>
      <c r="D172" s="8">
        <v>14.7</v>
      </c>
      <c r="E172" s="8">
        <v>193</v>
      </c>
      <c r="F172" s="8" t="s">
        <v>24</v>
      </c>
      <c r="G172" s="8" t="s">
        <v>17</v>
      </c>
      <c r="H172" s="8" t="s">
        <v>52</v>
      </c>
      <c r="I172" s="8" t="s">
        <v>57</v>
      </c>
      <c r="J172" s="8" t="s">
        <v>28</v>
      </c>
      <c r="K172" s="8" t="s">
        <v>192</v>
      </c>
      <c r="L172" s="8">
        <v>0.59</v>
      </c>
      <c r="M172" s="8" t="s">
        <v>139</v>
      </c>
      <c r="N172" s="8">
        <v>-560.81417999999996</v>
      </c>
      <c r="O172" s="9">
        <v>224.12</v>
      </c>
    </row>
    <row r="173" spans="1:15" x14ac:dyDescent="0.25">
      <c r="A173" s="4" t="s">
        <v>23</v>
      </c>
      <c r="B173" s="5">
        <v>0.08</v>
      </c>
      <c r="C173" s="5">
        <v>297.64</v>
      </c>
      <c r="D173" s="5">
        <v>14.7</v>
      </c>
      <c r="E173" s="5">
        <v>466</v>
      </c>
      <c r="F173" s="5" t="s">
        <v>24</v>
      </c>
      <c r="G173" s="5" t="s">
        <v>38</v>
      </c>
      <c r="H173" s="5" t="s">
        <v>52</v>
      </c>
      <c r="I173" s="5" t="s">
        <v>57</v>
      </c>
      <c r="J173" s="5" t="s">
        <v>28</v>
      </c>
      <c r="K173" s="5" t="s">
        <v>367</v>
      </c>
      <c r="L173" s="5">
        <v>0.56999999999999995</v>
      </c>
      <c r="M173" s="5" t="s">
        <v>368</v>
      </c>
      <c r="N173" s="5">
        <v>496.79680000000002</v>
      </c>
      <c r="O173" s="6">
        <v>1132.8399999999999</v>
      </c>
    </row>
    <row r="174" spans="1:15" x14ac:dyDescent="0.25">
      <c r="A174" s="4" t="s">
        <v>31</v>
      </c>
      <c r="B174" s="5">
        <v>0.09</v>
      </c>
      <c r="C174" s="5">
        <v>32.979999999999997</v>
      </c>
      <c r="D174" s="5">
        <v>5.5</v>
      </c>
      <c r="E174" s="5">
        <v>151</v>
      </c>
      <c r="F174" s="5" t="s">
        <v>32</v>
      </c>
      <c r="G174" s="5" t="s">
        <v>25</v>
      </c>
      <c r="H174" s="5" t="s">
        <v>52</v>
      </c>
      <c r="I174" s="5" t="s">
        <v>121</v>
      </c>
      <c r="J174" s="5" t="s">
        <v>39</v>
      </c>
      <c r="K174" s="5" t="s">
        <v>158</v>
      </c>
      <c r="L174" s="5">
        <v>0.75</v>
      </c>
      <c r="M174" s="5" t="s">
        <v>159</v>
      </c>
      <c r="N174" s="5">
        <v>-20.257999999999999</v>
      </c>
      <c r="O174" s="6">
        <v>62.46</v>
      </c>
    </row>
    <row r="175" spans="1:15" x14ac:dyDescent="0.25">
      <c r="A175" s="7" t="s">
        <v>31</v>
      </c>
      <c r="B175" s="8">
        <v>0.09</v>
      </c>
      <c r="C175" s="8">
        <v>999.99</v>
      </c>
      <c r="D175" s="8">
        <v>13.99</v>
      </c>
      <c r="E175" s="8">
        <v>421</v>
      </c>
      <c r="F175" s="8" t="s">
        <v>32</v>
      </c>
      <c r="G175" s="8" t="s">
        <v>38</v>
      </c>
      <c r="H175" s="8" t="s">
        <v>52</v>
      </c>
      <c r="I175" s="8" t="s">
        <v>57</v>
      </c>
      <c r="J175" s="8" t="s">
        <v>58</v>
      </c>
      <c r="K175" s="8" t="s">
        <v>344</v>
      </c>
      <c r="L175" s="8">
        <v>0.36</v>
      </c>
      <c r="M175" s="8" t="s">
        <v>345</v>
      </c>
      <c r="N175" s="8">
        <v>-2531.4825000000001</v>
      </c>
      <c r="O175" s="9">
        <v>919.09</v>
      </c>
    </row>
    <row r="176" spans="1:15" x14ac:dyDescent="0.25">
      <c r="A176" s="4" t="s">
        <v>73</v>
      </c>
      <c r="B176" s="5">
        <v>0.05</v>
      </c>
      <c r="C176" s="5">
        <v>574.74</v>
      </c>
      <c r="D176" s="5">
        <v>24.49</v>
      </c>
      <c r="E176" s="5">
        <v>169</v>
      </c>
      <c r="F176" s="5" t="s">
        <v>32</v>
      </c>
      <c r="G176" s="5" t="s">
        <v>17</v>
      </c>
      <c r="H176" s="5" t="s">
        <v>52</v>
      </c>
      <c r="I176" s="5" t="s">
        <v>57</v>
      </c>
      <c r="J176" s="5" t="s">
        <v>153</v>
      </c>
      <c r="K176" s="5" t="s">
        <v>177</v>
      </c>
      <c r="L176" s="5">
        <v>0.37</v>
      </c>
      <c r="M176" s="5" t="s">
        <v>176</v>
      </c>
      <c r="N176" s="5">
        <v>-112.4263</v>
      </c>
      <c r="O176" s="6">
        <v>6945.16</v>
      </c>
    </row>
    <row r="177" spans="1:15" x14ac:dyDescent="0.25">
      <c r="A177" s="7" t="s">
        <v>31</v>
      </c>
      <c r="B177" s="8">
        <v>0.06</v>
      </c>
      <c r="C177" s="8">
        <v>5.34</v>
      </c>
      <c r="D177" s="8">
        <v>5.63</v>
      </c>
      <c r="E177" s="8">
        <v>383</v>
      </c>
      <c r="F177" s="8" t="s">
        <v>32</v>
      </c>
      <c r="G177" s="8" t="s">
        <v>17</v>
      </c>
      <c r="H177" s="8" t="s">
        <v>18</v>
      </c>
      <c r="I177" s="8" t="s">
        <v>75</v>
      </c>
      <c r="J177" s="8" t="s">
        <v>39</v>
      </c>
      <c r="K177" s="8" t="s">
        <v>320</v>
      </c>
      <c r="L177" s="8">
        <v>0.39</v>
      </c>
      <c r="M177" s="8" t="s">
        <v>321</v>
      </c>
      <c r="N177" s="8">
        <v>-82.822999999999993</v>
      </c>
      <c r="O177" s="9">
        <v>38.65</v>
      </c>
    </row>
    <row r="178" spans="1:15" x14ac:dyDescent="0.25">
      <c r="A178" s="7" t="s">
        <v>15</v>
      </c>
      <c r="B178" s="8">
        <v>7.0000000000000007E-2</v>
      </c>
      <c r="C178" s="8">
        <v>19.84</v>
      </c>
      <c r="D178" s="8">
        <v>4.0999999999999996</v>
      </c>
      <c r="E178" s="8">
        <v>91</v>
      </c>
      <c r="F178" s="8" t="s">
        <v>32</v>
      </c>
      <c r="G178" s="8" t="s">
        <v>25</v>
      </c>
      <c r="H178" s="8" t="s">
        <v>18</v>
      </c>
      <c r="I178" s="8" t="s">
        <v>19</v>
      </c>
      <c r="J178" s="8" t="s">
        <v>20</v>
      </c>
      <c r="K178" s="8" t="s">
        <v>111</v>
      </c>
      <c r="L178" s="8">
        <v>0.44</v>
      </c>
      <c r="M178" s="8" t="s">
        <v>112</v>
      </c>
      <c r="N178" s="8">
        <v>117.852</v>
      </c>
      <c r="O178" s="9">
        <v>170.8</v>
      </c>
    </row>
    <row r="179" spans="1:15" x14ac:dyDescent="0.25">
      <c r="A179" s="4" t="s">
        <v>23</v>
      </c>
      <c r="B179" s="5">
        <v>0.09</v>
      </c>
      <c r="C179" s="5">
        <v>15.28</v>
      </c>
      <c r="D179" s="5">
        <v>10.91</v>
      </c>
      <c r="E179" s="5">
        <v>275</v>
      </c>
      <c r="F179" s="5" t="s">
        <v>32</v>
      </c>
      <c r="G179" s="5" t="s">
        <v>17</v>
      </c>
      <c r="H179" s="5" t="s">
        <v>18</v>
      </c>
      <c r="I179" s="5" t="s">
        <v>75</v>
      </c>
      <c r="J179" s="5" t="s">
        <v>39</v>
      </c>
      <c r="K179" s="5" t="s">
        <v>258</v>
      </c>
      <c r="L179" s="5">
        <v>0.36</v>
      </c>
      <c r="M179" s="5" t="s">
        <v>259</v>
      </c>
      <c r="N179" s="5">
        <v>-51.75</v>
      </c>
      <c r="O179" s="6">
        <v>61.52</v>
      </c>
    </row>
    <row r="180" spans="1:15" x14ac:dyDescent="0.25">
      <c r="A180" s="4" t="s">
        <v>15</v>
      </c>
      <c r="B180" s="5">
        <v>7.0000000000000007E-2</v>
      </c>
      <c r="C180" s="5">
        <v>8.34</v>
      </c>
      <c r="D180" s="5">
        <v>1.43</v>
      </c>
      <c r="E180" s="5">
        <v>92</v>
      </c>
      <c r="F180" s="5" t="s">
        <v>32</v>
      </c>
      <c r="G180" s="5" t="s">
        <v>25</v>
      </c>
      <c r="H180" s="5" t="s">
        <v>18</v>
      </c>
      <c r="I180" s="5" t="s">
        <v>63</v>
      </c>
      <c r="J180" s="5" t="s">
        <v>20</v>
      </c>
      <c r="K180" s="5" t="s">
        <v>114</v>
      </c>
      <c r="L180" s="5">
        <v>0.35</v>
      </c>
      <c r="M180" s="5" t="s">
        <v>115</v>
      </c>
      <c r="N180" s="5">
        <v>-190.68</v>
      </c>
      <c r="O180" s="6">
        <v>132.08000000000001</v>
      </c>
    </row>
    <row r="181" spans="1:15" x14ac:dyDescent="0.25">
      <c r="A181" s="4" t="s">
        <v>15</v>
      </c>
      <c r="B181" s="5">
        <v>0.03</v>
      </c>
      <c r="C181" s="5">
        <v>4.9800000000000004</v>
      </c>
      <c r="D181" s="5">
        <v>0.8</v>
      </c>
      <c r="E181" s="5">
        <v>406</v>
      </c>
      <c r="F181" s="5" t="s">
        <v>32</v>
      </c>
      <c r="G181" s="5" t="s">
        <v>38</v>
      </c>
      <c r="H181" s="5" t="s">
        <v>18</v>
      </c>
      <c r="I181" s="5" t="s">
        <v>63</v>
      </c>
      <c r="J181" s="5" t="s">
        <v>20</v>
      </c>
      <c r="K181" s="5" t="s">
        <v>339</v>
      </c>
      <c r="L181" s="5">
        <v>0.36</v>
      </c>
      <c r="M181" s="5" t="s">
        <v>340</v>
      </c>
      <c r="N181" s="5">
        <v>50.2044</v>
      </c>
      <c r="O181" s="6">
        <v>72.760000000000005</v>
      </c>
    </row>
    <row r="182" spans="1:15" x14ac:dyDescent="0.25">
      <c r="A182" s="4" t="s">
        <v>15</v>
      </c>
      <c r="B182" s="5">
        <v>7.0000000000000007E-2</v>
      </c>
      <c r="C182" s="5">
        <v>10.06</v>
      </c>
      <c r="D182" s="5">
        <v>2.06</v>
      </c>
      <c r="E182" s="5">
        <v>188</v>
      </c>
      <c r="F182" s="5" t="s">
        <v>32</v>
      </c>
      <c r="G182" s="5" t="s">
        <v>17</v>
      </c>
      <c r="H182" s="5" t="s">
        <v>18</v>
      </c>
      <c r="I182" s="5" t="s">
        <v>63</v>
      </c>
      <c r="J182" s="5" t="s">
        <v>20</v>
      </c>
      <c r="K182" s="5" t="s">
        <v>184</v>
      </c>
      <c r="L182" s="5">
        <v>0.39</v>
      </c>
      <c r="M182" s="5" t="s">
        <v>185</v>
      </c>
      <c r="N182" s="5">
        <v>152.65559999999999</v>
      </c>
      <c r="O182" s="6">
        <v>221.24</v>
      </c>
    </row>
    <row r="183" spans="1:15" x14ac:dyDescent="0.25">
      <c r="A183" s="7" t="s">
        <v>37</v>
      </c>
      <c r="B183" s="8">
        <v>0.01</v>
      </c>
      <c r="C183" s="8">
        <v>10.06</v>
      </c>
      <c r="D183" s="8">
        <v>2.06</v>
      </c>
      <c r="E183" s="8">
        <v>211</v>
      </c>
      <c r="F183" s="8" t="s">
        <v>32</v>
      </c>
      <c r="G183" s="8" t="s">
        <v>79</v>
      </c>
      <c r="H183" s="8" t="s">
        <v>18</v>
      </c>
      <c r="I183" s="8" t="s">
        <v>63</v>
      </c>
      <c r="J183" s="8" t="s">
        <v>20</v>
      </c>
      <c r="K183" s="8" t="s">
        <v>184</v>
      </c>
      <c r="L183" s="8">
        <v>0.39</v>
      </c>
      <c r="M183" s="8" t="s">
        <v>207</v>
      </c>
      <c r="N183" s="8">
        <v>7.59</v>
      </c>
      <c r="O183" s="9">
        <v>21.2</v>
      </c>
    </row>
    <row r="184" spans="1:15" x14ac:dyDescent="0.25">
      <c r="A184" s="7" t="s">
        <v>31</v>
      </c>
      <c r="B184" s="8">
        <v>0.06</v>
      </c>
      <c r="C184" s="8">
        <v>276.2</v>
      </c>
      <c r="D184" s="8">
        <v>24.49</v>
      </c>
      <c r="E184" s="8">
        <v>335</v>
      </c>
      <c r="F184" s="8" t="s">
        <v>32</v>
      </c>
      <c r="G184" s="8" t="s">
        <v>17</v>
      </c>
      <c r="H184" s="8" t="s">
        <v>26</v>
      </c>
      <c r="I184" s="8" t="s">
        <v>27</v>
      </c>
      <c r="J184" s="8" t="s">
        <v>153</v>
      </c>
      <c r="K184" s="8" t="s">
        <v>287</v>
      </c>
      <c r="L184" s="8"/>
      <c r="M184" s="8" t="s">
        <v>288</v>
      </c>
      <c r="N184" s="8">
        <v>2639.4708000000001</v>
      </c>
      <c r="O184" s="9">
        <v>3825.32</v>
      </c>
    </row>
    <row r="185" spans="1:15" x14ac:dyDescent="0.25">
      <c r="A185" s="4" t="s">
        <v>15</v>
      </c>
      <c r="B185" s="5">
        <v>0.01</v>
      </c>
      <c r="C185" s="5">
        <v>2.84</v>
      </c>
      <c r="D185" s="5">
        <v>0.93</v>
      </c>
      <c r="E185" s="5">
        <v>3</v>
      </c>
      <c r="F185" s="5" t="s">
        <v>16</v>
      </c>
      <c r="G185" s="5" t="s">
        <v>17</v>
      </c>
      <c r="H185" s="5" t="s">
        <v>18</v>
      </c>
      <c r="I185" s="5" t="s">
        <v>19</v>
      </c>
      <c r="J185" s="5" t="s">
        <v>20</v>
      </c>
      <c r="K185" s="5" t="s">
        <v>21</v>
      </c>
      <c r="L185" s="5">
        <v>0.54</v>
      </c>
      <c r="M185" s="5" t="s">
        <v>22</v>
      </c>
      <c r="N185" s="5">
        <v>4.5599999999999996</v>
      </c>
      <c r="O185" s="6">
        <v>13.01</v>
      </c>
    </row>
    <row r="186" spans="1:15" x14ac:dyDescent="0.25">
      <c r="A186" s="4" t="s">
        <v>31</v>
      </c>
      <c r="B186" s="5">
        <v>0.06</v>
      </c>
      <c r="C186" s="5">
        <v>279.81</v>
      </c>
      <c r="D186" s="5">
        <v>23.19</v>
      </c>
      <c r="E186" s="5">
        <v>234</v>
      </c>
      <c r="F186" s="5" t="s">
        <v>24</v>
      </c>
      <c r="G186" s="5" t="s">
        <v>38</v>
      </c>
      <c r="H186" s="5" t="s">
        <v>18</v>
      </c>
      <c r="I186" s="5" t="s">
        <v>168</v>
      </c>
      <c r="J186" s="5" t="s">
        <v>28</v>
      </c>
      <c r="K186" s="5" t="s">
        <v>216</v>
      </c>
      <c r="L186" s="5">
        <v>0.59</v>
      </c>
      <c r="M186" s="5" t="s">
        <v>217</v>
      </c>
      <c r="N186" s="5">
        <v>1103.9724000000001</v>
      </c>
      <c r="O186" s="6">
        <v>1599.96</v>
      </c>
    </row>
    <row r="187" spans="1:15" x14ac:dyDescent="0.25">
      <c r="A187" s="4" t="s">
        <v>37</v>
      </c>
      <c r="B187" s="5">
        <v>0.05</v>
      </c>
      <c r="C187" s="5">
        <v>328.14</v>
      </c>
      <c r="D187" s="5">
        <v>91.05</v>
      </c>
      <c r="E187" s="5">
        <v>366</v>
      </c>
      <c r="F187" s="5" t="s">
        <v>24</v>
      </c>
      <c r="G187" s="5" t="s">
        <v>38</v>
      </c>
      <c r="H187" s="5" t="s">
        <v>18</v>
      </c>
      <c r="I187" s="5" t="s">
        <v>168</v>
      </c>
      <c r="J187" s="5" t="s">
        <v>28</v>
      </c>
      <c r="K187" s="5" t="s">
        <v>307</v>
      </c>
      <c r="L187" s="5">
        <v>0.56999999999999995</v>
      </c>
      <c r="M187" s="5" t="s">
        <v>308</v>
      </c>
      <c r="N187" s="5">
        <v>411.5172</v>
      </c>
      <c r="O187" s="6">
        <v>1967.98</v>
      </c>
    </row>
    <row r="188" spans="1:15" x14ac:dyDescent="0.25">
      <c r="A188" s="7" t="s">
        <v>23</v>
      </c>
      <c r="B188" s="8">
        <v>0.03</v>
      </c>
      <c r="C188" s="8">
        <v>29.34</v>
      </c>
      <c r="D188" s="8">
        <v>7.87</v>
      </c>
      <c r="E188" s="8">
        <v>453</v>
      </c>
      <c r="F188" s="8" t="s">
        <v>32</v>
      </c>
      <c r="G188" s="8" t="s">
        <v>17</v>
      </c>
      <c r="H188" s="8" t="s">
        <v>26</v>
      </c>
      <c r="I188" s="8" t="s">
        <v>33</v>
      </c>
      <c r="J188" s="8" t="s">
        <v>39</v>
      </c>
      <c r="K188" s="8" t="s">
        <v>361</v>
      </c>
      <c r="L188" s="8">
        <v>0.54</v>
      </c>
      <c r="M188" s="8" t="s">
        <v>362</v>
      </c>
      <c r="N188" s="8">
        <v>-41.32</v>
      </c>
      <c r="O188" s="9">
        <v>32.4</v>
      </c>
    </row>
    <row r="189" spans="1:15" x14ac:dyDescent="0.25">
      <c r="A189" s="7" t="s">
        <v>37</v>
      </c>
      <c r="B189" s="8">
        <v>0.02</v>
      </c>
      <c r="C189" s="8">
        <v>20.28</v>
      </c>
      <c r="D189" s="8">
        <v>6.68</v>
      </c>
      <c r="E189" s="8">
        <v>210</v>
      </c>
      <c r="F189" s="8" t="s">
        <v>32</v>
      </c>
      <c r="G189" s="8" t="s">
        <v>25</v>
      </c>
      <c r="H189" s="8" t="s">
        <v>26</v>
      </c>
      <c r="I189" s="8" t="s">
        <v>33</v>
      </c>
      <c r="J189" s="8" t="s">
        <v>39</v>
      </c>
      <c r="K189" s="8" t="s">
        <v>205</v>
      </c>
      <c r="L189" s="8">
        <v>0.53</v>
      </c>
      <c r="M189" s="8" t="s">
        <v>203</v>
      </c>
      <c r="N189" s="8">
        <v>44.677500000000002</v>
      </c>
      <c r="O189" s="9">
        <v>64.75</v>
      </c>
    </row>
    <row r="190" spans="1:15" x14ac:dyDescent="0.25">
      <c r="A190" s="4" t="s">
        <v>15</v>
      </c>
      <c r="B190" s="5">
        <v>0.04</v>
      </c>
      <c r="C190" s="5">
        <v>29.14</v>
      </c>
      <c r="D190" s="5">
        <v>4.8600000000000003</v>
      </c>
      <c r="E190" s="5">
        <v>62</v>
      </c>
      <c r="F190" s="5" t="s">
        <v>32</v>
      </c>
      <c r="G190" s="5" t="s">
        <v>17</v>
      </c>
      <c r="H190" s="5" t="s">
        <v>18</v>
      </c>
      <c r="I190" s="5" t="s">
        <v>63</v>
      </c>
      <c r="J190" s="5" t="s">
        <v>20</v>
      </c>
      <c r="K190" s="5" t="s">
        <v>91</v>
      </c>
      <c r="L190" s="5">
        <v>0.38</v>
      </c>
      <c r="M190" s="5" t="s">
        <v>90</v>
      </c>
      <c r="N190" s="5">
        <v>349.40910000000002</v>
      </c>
      <c r="O190" s="6">
        <v>506.39</v>
      </c>
    </row>
    <row r="191" spans="1:15" x14ac:dyDescent="0.25">
      <c r="A191" s="4" t="s">
        <v>73</v>
      </c>
      <c r="B191" s="5">
        <v>0.02</v>
      </c>
      <c r="C191" s="5">
        <v>5.58</v>
      </c>
      <c r="D191" s="5">
        <v>5.3</v>
      </c>
      <c r="E191" s="5">
        <v>268</v>
      </c>
      <c r="F191" s="5" t="s">
        <v>32</v>
      </c>
      <c r="G191" s="5" t="s">
        <v>25</v>
      </c>
      <c r="H191" s="5" t="s">
        <v>18</v>
      </c>
      <c r="I191" s="5" t="s">
        <v>46</v>
      </c>
      <c r="J191" s="5" t="s">
        <v>39</v>
      </c>
      <c r="K191" s="5" t="s">
        <v>249</v>
      </c>
      <c r="L191" s="5">
        <v>0.35</v>
      </c>
      <c r="M191" s="5" t="s">
        <v>250</v>
      </c>
      <c r="N191" s="5">
        <v>-22.48</v>
      </c>
      <c r="O191" s="6">
        <v>18.670000000000002</v>
      </c>
    </row>
    <row r="192" spans="1:15" x14ac:dyDescent="0.25">
      <c r="A192" s="4" t="s">
        <v>73</v>
      </c>
      <c r="B192" s="5">
        <v>0.02</v>
      </c>
      <c r="C192" s="5">
        <v>5.58</v>
      </c>
      <c r="D192" s="5">
        <v>5.3</v>
      </c>
      <c r="E192" s="5">
        <v>272</v>
      </c>
      <c r="F192" s="5" t="s">
        <v>32</v>
      </c>
      <c r="G192" s="5" t="s">
        <v>25</v>
      </c>
      <c r="H192" s="5" t="s">
        <v>18</v>
      </c>
      <c r="I192" s="5" t="s">
        <v>46</v>
      </c>
      <c r="J192" s="5" t="s">
        <v>39</v>
      </c>
      <c r="K192" s="5" t="s">
        <v>249</v>
      </c>
      <c r="L192" s="5">
        <v>0.35</v>
      </c>
      <c r="M192" s="5" t="s">
        <v>257</v>
      </c>
      <c r="N192" s="5">
        <v>-29.898399999999999</v>
      </c>
      <c r="O192" s="6">
        <v>68.459999999999994</v>
      </c>
    </row>
    <row r="193" spans="1:15" x14ac:dyDescent="0.25">
      <c r="A193" s="7" t="s">
        <v>15</v>
      </c>
      <c r="B193" s="8">
        <v>0.04</v>
      </c>
      <c r="C193" s="8">
        <v>2.98</v>
      </c>
      <c r="D193" s="8">
        <v>1.58</v>
      </c>
      <c r="E193" s="8">
        <v>16</v>
      </c>
      <c r="F193" s="8" t="s">
        <v>32</v>
      </c>
      <c r="G193" s="8" t="s">
        <v>38</v>
      </c>
      <c r="H193" s="8" t="s">
        <v>18</v>
      </c>
      <c r="I193" s="8" t="s">
        <v>44</v>
      </c>
      <c r="J193" s="8" t="s">
        <v>20</v>
      </c>
      <c r="K193" s="8" t="s">
        <v>50</v>
      </c>
      <c r="L193" s="8">
        <v>0.39</v>
      </c>
      <c r="M193" s="8" t="s">
        <v>51</v>
      </c>
      <c r="N193" s="8">
        <v>2.63</v>
      </c>
      <c r="O193" s="9">
        <v>18.8</v>
      </c>
    </row>
    <row r="194" spans="1:15" x14ac:dyDescent="0.25">
      <c r="A194" s="7" t="s">
        <v>73</v>
      </c>
      <c r="B194" s="8">
        <v>0.04</v>
      </c>
      <c r="C194" s="8">
        <v>10.14</v>
      </c>
      <c r="D194" s="8">
        <v>2.27</v>
      </c>
      <c r="E194" s="8">
        <v>169</v>
      </c>
      <c r="F194" s="8" t="s">
        <v>32</v>
      </c>
      <c r="G194" s="8" t="s">
        <v>17</v>
      </c>
      <c r="H194" s="8" t="s">
        <v>18</v>
      </c>
      <c r="I194" s="8" t="s">
        <v>63</v>
      </c>
      <c r="J194" s="8" t="s">
        <v>20</v>
      </c>
      <c r="K194" s="8" t="s">
        <v>178</v>
      </c>
      <c r="L194" s="8">
        <v>0.36</v>
      </c>
      <c r="M194" s="8" t="s">
        <v>176</v>
      </c>
      <c r="N194" s="8">
        <v>24.923999999999999</v>
      </c>
      <c r="O194" s="9">
        <v>30.94</v>
      </c>
    </row>
    <row r="195" spans="1:15" x14ac:dyDescent="0.25">
      <c r="A195" s="4" t="s">
        <v>31</v>
      </c>
      <c r="B195" s="5">
        <v>0.05</v>
      </c>
      <c r="C195" s="5">
        <v>1.88</v>
      </c>
      <c r="D195" s="5">
        <v>1.49</v>
      </c>
      <c r="E195" s="5">
        <v>171</v>
      </c>
      <c r="F195" s="5" t="s">
        <v>32</v>
      </c>
      <c r="G195" s="5" t="s">
        <v>17</v>
      </c>
      <c r="H195" s="5" t="s">
        <v>18</v>
      </c>
      <c r="I195" s="5" t="s">
        <v>75</v>
      </c>
      <c r="J195" s="5" t="s">
        <v>39</v>
      </c>
      <c r="K195" s="5" t="s">
        <v>179</v>
      </c>
      <c r="L195" s="5">
        <v>0.37</v>
      </c>
      <c r="M195" s="5" t="s">
        <v>180</v>
      </c>
      <c r="N195" s="5">
        <v>-2.9095</v>
      </c>
      <c r="O195" s="6">
        <v>3.42</v>
      </c>
    </row>
    <row r="196" spans="1:15" x14ac:dyDescent="0.25">
      <c r="A196" s="7" t="s">
        <v>37</v>
      </c>
      <c r="B196" s="8">
        <v>0.09</v>
      </c>
      <c r="C196" s="8">
        <v>125.99</v>
      </c>
      <c r="D196" s="8">
        <v>7.69</v>
      </c>
      <c r="E196" s="8">
        <v>32</v>
      </c>
      <c r="F196" s="8" t="s">
        <v>16</v>
      </c>
      <c r="G196" s="8" t="s">
        <v>17</v>
      </c>
      <c r="H196" s="8" t="s">
        <v>52</v>
      </c>
      <c r="I196" s="8" t="s">
        <v>53</v>
      </c>
      <c r="J196" s="8" t="s">
        <v>39</v>
      </c>
      <c r="K196" s="8" t="s">
        <v>72</v>
      </c>
      <c r="L196" s="8">
        <v>0.59</v>
      </c>
      <c r="M196" s="8" t="s">
        <v>70</v>
      </c>
      <c r="N196" s="8">
        <v>209.99700000000001</v>
      </c>
      <c r="O196" s="9">
        <v>783.55</v>
      </c>
    </row>
    <row r="197" spans="1:15" x14ac:dyDescent="0.25">
      <c r="A197" s="4" t="s">
        <v>15</v>
      </c>
      <c r="B197" s="5">
        <v>0.05</v>
      </c>
      <c r="C197" s="5">
        <v>115.99</v>
      </c>
      <c r="D197" s="5">
        <v>2.5</v>
      </c>
      <c r="E197" s="5">
        <v>16</v>
      </c>
      <c r="F197" s="5" t="s">
        <v>32</v>
      </c>
      <c r="G197" s="5" t="s">
        <v>38</v>
      </c>
      <c r="H197" s="5" t="s">
        <v>52</v>
      </c>
      <c r="I197" s="5" t="s">
        <v>53</v>
      </c>
      <c r="J197" s="5" t="s">
        <v>39</v>
      </c>
      <c r="K197" s="5" t="s">
        <v>54</v>
      </c>
      <c r="L197" s="5">
        <v>0.55000000000000004</v>
      </c>
      <c r="M197" s="5" t="s">
        <v>51</v>
      </c>
      <c r="N197" s="5">
        <v>652.73310000000004</v>
      </c>
      <c r="O197" s="6">
        <v>945.99</v>
      </c>
    </row>
    <row r="198" spans="1:15" x14ac:dyDescent="0.25">
      <c r="A198" s="4" t="s">
        <v>15</v>
      </c>
      <c r="B198" s="5">
        <v>0.01</v>
      </c>
      <c r="C198" s="5">
        <v>65.989999999999995</v>
      </c>
      <c r="D198" s="5">
        <v>8.99</v>
      </c>
      <c r="E198" s="5">
        <v>152</v>
      </c>
      <c r="F198" s="5" t="s">
        <v>32</v>
      </c>
      <c r="G198" s="5" t="s">
        <v>79</v>
      </c>
      <c r="H198" s="5" t="s">
        <v>52</v>
      </c>
      <c r="I198" s="5" t="s">
        <v>53</v>
      </c>
      <c r="J198" s="5" t="s">
        <v>39</v>
      </c>
      <c r="K198" s="5" t="s">
        <v>164</v>
      </c>
      <c r="L198" s="5">
        <v>0.6</v>
      </c>
      <c r="M198" s="5" t="s">
        <v>162</v>
      </c>
      <c r="N198" s="5">
        <v>97.86</v>
      </c>
      <c r="O198" s="6">
        <v>292.23</v>
      </c>
    </row>
    <row r="199" spans="1:15" x14ac:dyDescent="0.25">
      <c r="A199" s="7" t="s">
        <v>31</v>
      </c>
      <c r="B199" s="8">
        <v>0.02</v>
      </c>
      <c r="C199" s="8">
        <v>65.989999999999995</v>
      </c>
      <c r="D199" s="8">
        <v>3.9</v>
      </c>
      <c r="E199" s="8">
        <v>250</v>
      </c>
      <c r="F199" s="8" t="s">
        <v>32</v>
      </c>
      <c r="G199" s="8" t="s">
        <v>17</v>
      </c>
      <c r="H199" s="8" t="s">
        <v>52</v>
      </c>
      <c r="I199" s="8" t="s">
        <v>53</v>
      </c>
      <c r="J199" s="8" t="s">
        <v>39</v>
      </c>
      <c r="K199" s="8" t="s">
        <v>234</v>
      </c>
      <c r="L199" s="8">
        <v>0.55000000000000004</v>
      </c>
      <c r="M199" s="8" t="s">
        <v>233</v>
      </c>
      <c r="N199" s="8">
        <v>1061.3789999999999</v>
      </c>
      <c r="O199" s="9">
        <v>1543.55</v>
      </c>
    </row>
    <row r="200" spans="1:15" x14ac:dyDescent="0.25">
      <c r="A200" s="4" t="s">
        <v>23</v>
      </c>
      <c r="B200" s="5">
        <v>0</v>
      </c>
      <c r="C200" s="5">
        <v>125.99</v>
      </c>
      <c r="D200" s="5">
        <v>8.08</v>
      </c>
      <c r="E200" s="5">
        <v>191</v>
      </c>
      <c r="F200" s="5" t="s">
        <v>32</v>
      </c>
      <c r="G200" s="5" t="s">
        <v>17</v>
      </c>
      <c r="H200" s="5" t="s">
        <v>52</v>
      </c>
      <c r="I200" s="5" t="s">
        <v>53</v>
      </c>
      <c r="J200" s="5" t="s">
        <v>39</v>
      </c>
      <c r="K200" s="5" t="s">
        <v>191</v>
      </c>
      <c r="L200" s="5">
        <v>0.56999999999999995</v>
      </c>
      <c r="M200" s="5" t="s">
        <v>189</v>
      </c>
      <c r="N200" s="5">
        <v>1348.59672</v>
      </c>
      <c r="O200" s="6">
        <v>2356.0100000000002</v>
      </c>
    </row>
    <row r="201" spans="1:15" x14ac:dyDescent="0.25">
      <c r="A201" s="7" t="s">
        <v>73</v>
      </c>
      <c r="B201" s="8">
        <v>0.05</v>
      </c>
      <c r="C201" s="8">
        <v>125.99</v>
      </c>
      <c r="D201" s="8">
        <v>8.08</v>
      </c>
      <c r="E201" s="8">
        <v>437</v>
      </c>
      <c r="F201" s="8" t="s">
        <v>32</v>
      </c>
      <c r="G201" s="8" t="s">
        <v>38</v>
      </c>
      <c r="H201" s="8" t="s">
        <v>52</v>
      </c>
      <c r="I201" s="8" t="s">
        <v>53</v>
      </c>
      <c r="J201" s="8" t="s">
        <v>39</v>
      </c>
      <c r="K201" s="8" t="s">
        <v>191</v>
      </c>
      <c r="L201" s="8">
        <v>0.56999999999999995</v>
      </c>
      <c r="M201" s="8" t="s">
        <v>349</v>
      </c>
      <c r="N201" s="8">
        <v>427.11840000000001</v>
      </c>
      <c r="O201" s="9">
        <v>952.26</v>
      </c>
    </row>
    <row r="202" spans="1:15" x14ac:dyDescent="0.25">
      <c r="A202" s="7" t="s">
        <v>73</v>
      </c>
      <c r="B202" s="8">
        <v>0.01</v>
      </c>
      <c r="C202" s="8">
        <v>5.94</v>
      </c>
      <c r="D202" s="8">
        <v>9.92</v>
      </c>
      <c r="E202" s="8">
        <v>241</v>
      </c>
      <c r="F202" s="8" t="s">
        <v>32</v>
      </c>
      <c r="G202" s="8" t="s">
        <v>38</v>
      </c>
      <c r="H202" s="8" t="s">
        <v>18</v>
      </c>
      <c r="I202" s="8" t="s">
        <v>75</v>
      </c>
      <c r="J202" s="8" t="s">
        <v>39</v>
      </c>
      <c r="K202" s="8" t="s">
        <v>227</v>
      </c>
      <c r="L202" s="8">
        <v>0.38</v>
      </c>
      <c r="M202" s="8" t="s">
        <v>226</v>
      </c>
      <c r="N202" s="8">
        <v>-256.51900000000001</v>
      </c>
      <c r="O202" s="9">
        <v>79.930000000000007</v>
      </c>
    </row>
    <row r="203" spans="1:15" x14ac:dyDescent="0.25">
      <c r="A203" s="7" t="s">
        <v>23</v>
      </c>
      <c r="B203" s="8">
        <v>0.03</v>
      </c>
      <c r="C203" s="8">
        <v>4.24</v>
      </c>
      <c r="D203" s="8">
        <v>5.41</v>
      </c>
      <c r="E203" s="8">
        <v>33</v>
      </c>
      <c r="F203" s="8" t="s">
        <v>32</v>
      </c>
      <c r="G203" s="8" t="s">
        <v>17</v>
      </c>
      <c r="H203" s="8" t="s">
        <v>18</v>
      </c>
      <c r="I203" s="8" t="s">
        <v>75</v>
      </c>
      <c r="J203" s="8" t="s">
        <v>39</v>
      </c>
      <c r="K203" s="8" t="s">
        <v>76</v>
      </c>
      <c r="L203" s="8">
        <v>0.35</v>
      </c>
      <c r="M203" s="8" t="s">
        <v>77</v>
      </c>
      <c r="N203" s="8">
        <v>-84.437600000000003</v>
      </c>
      <c r="O203" s="9">
        <v>58.68</v>
      </c>
    </row>
    <row r="204" spans="1:15" x14ac:dyDescent="0.25">
      <c r="A204" s="7" t="s">
        <v>73</v>
      </c>
      <c r="B204" s="8">
        <v>0.05</v>
      </c>
      <c r="C204" s="8">
        <v>1.86</v>
      </c>
      <c r="D204" s="8">
        <v>2.58</v>
      </c>
      <c r="E204" s="8">
        <v>210</v>
      </c>
      <c r="F204" s="8" t="s">
        <v>32</v>
      </c>
      <c r="G204" s="8" t="s">
        <v>25</v>
      </c>
      <c r="H204" s="8" t="s">
        <v>18</v>
      </c>
      <c r="I204" s="8" t="s">
        <v>44</v>
      </c>
      <c r="J204" s="8" t="s">
        <v>20</v>
      </c>
      <c r="K204" s="8" t="s">
        <v>202</v>
      </c>
      <c r="L204" s="8">
        <v>0.82</v>
      </c>
      <c r="M204" s="8" t="s">
        <v>203</v>
      </c>
      <c r="N204" s="8">
        <v>-66.62</v>
      </c>
      <c r="O204" s="9">
        <v>17.61</v>
      </c>
    </row>
    <row r="205" spans="1:15" x14ac:dyDescent="0.25">
      <c r="A205" s="7" t="s">
        <v>31</v>
      </c>
      <c r="B205" s="8">
        <v>0.01</v>
      </c>
      <c r="C205" s="8">
        <v>110.99</v>
      </c>
      <c r="D205" s="8">
        <v>2.5</v>
      </c>
      <c r="E205" s="8">
        <v>388</v>
      </c>
      <c r="F205" s="8" t="s">
        <v>32</v>
      </c>
      <c r="G205" s="8" t="s">
        <v>17</v>
      </c>
      <c r="H205" s="8" t="s">
        <v>52</v>
      </c>
      <c r="I205" s="8" t="s">
        <v>53</v>
      </c>
      <c r="J205" s="8" t="s">
        <v>39</v>
      </c>
      <c r="K205" s="8" t="s">
        <v>326</v>
      </c>
      <c r="L205" s="8">
        <v>0.56999999999999995</v>
      </c>
      <c r="M205" s="8" t="s">
        <v>325</v>
      </c>
      <c r="N205" s="8">
        <v>-263.56572</v>
      </c>
      <c r="O205" s="9">
        <v>188.66</v>
      </c>
    </row>
    <row r="206" spans="1:15" x14ac:dyDescent="0.25">
      <c r="A206" s="4" t="s">
        <v>31</v>
      </c>
      <c r="B206" s="5">
        <v>0.01</v>
      </c>
      <c r="C206" s="5">
        <v>95.99</v>
      </c>
      <c r="D206" s="5">
        <v>4.9000000000000004</v>
      </c>
      <c r="E206" s="5">
        <v>156</v>
      </c>
      <c r="F206" s="5" t="s">
        <v>32</v>
      </c>
      <c r="G206" s="5" t="s">
        <v>17</v>
      </c>
      <c r="H206" s="5" t="s">
        <v>52</v>
      </c>
      <c r="I206" s="5" t="s">
        <v>53</v>
      </c>
      <c r="J206" s="5" t="s">
        <v>39</v>
      </c>
      <c r="K206" s="5" t="s">
        <v>166</v>
      </c>
      <c r="L206" s="5">
        <v>0.56000000000000005</v>
      </c>
      <c r="M206" s="5" t="s">
        <v>167</v>
      </c>
      <c r="N206" s="5">
        <v>713.88</v>
      </c>
      <c r="O206" s="6">
        <v>1050.08</v>
      </c>
    </row>
    <row r="207" spans="1:15" x14ac:dyDescent="0.25">
      <c r="A207" s="4" t="s">
        <v>37</v>
      </c>
      <c r="B207" s="5">
        <v>0.01</v>
      </c>
      <c r="C207" s="5">
        <v>19.989999999999998</v>
      </c>
      <c r="D207" s="5">
        <v>11.17</v>
      </c>
      <c r="E207" s="5">
        <v>392</v>
      </c>
      <c r="F207" s="5" t="s">
        <v>32</v>
      </c>
      <c r="G207" s="5" t="s">
        <v>17</v>
      </c>
      <c r="H207" s="5" t="s">
        <v>26</v>
      </c>
      <c r="I207" s="5" t="s">
        <v>33</v>
      </c>
      <c r="J207" s="5" t="s">
        <v>153</v>
      </c>
      <c r="K207" s="5" t="s">
        <v>330</v>
      </c>
      <c r="L207" s="5">
        <v>0.6</v>
      </c>
      <c r="M207" s="5" t="s">
        <v>329</v>
      </c>
      <c r="N207" s="5">
        <v>27.91</v>
      </c>
      <c r="O207" s="6">
        <v>43.65</v>
      </c>
    </row>
    <row r="208" spans="1:15" x14ac:dyDescent="0.25">
      <c r="A208" s="7" t="s">
        <v>73</v>
      </c>
      <c r="B208" s="8">
        <v>0</v>
      </c>
      <c r="C208" s="8">
        <v>170.98</v>
      </c>
      <c r="D208" s="8">
        <v>13.99</v>
      </c>
      <c r="E208" s="8">
        <v>269</v>
      </c>
      <c r="F208" s="8" t="s">
        <v>32</v>
      </c>
      <c r="G208" s="8" t="s">
        <v>25</v>
      </c>
      <c r="H208" s="8" t="s">
        <v>26</v>
      </c>
      <c r="I208" s="8" t="s">
        <v>33</v>
      </c>
      <c r="J208" s="8" t="s">
        <v>58</v>
      </c>
      <c r="K208" s="8" t="s">
        <v>253</v>
      </c>
      <c r="L208" s="8">
        <v>0.75</v>
      </c>
      <c r="M208" s="8" t="s">
        <v>252</v>
      </c>
      <c r="N208" s="8">
        <v>888.14729999999997</v>
      </c>
      <c r="O208" s="9">
        <v>1287.17</v>
      </c>
    </row>
    <row r="209" spans="1:15" x14ac:dyDescent="0.25">
      <c r="A209" s="4" t="s">
        <v>23</v>
      </c>
      <c r="B209" s="5">
        <v>0.01</v>
      </c>
      <c r="C209" s="5">
        <v>45.98</v>
      </c>
      <c r="D209" s="5">
        <v>4.8</v>
      </c>
      <c r="E209" s="5">
        <v>146</v>
      </c>
      <c r="F209" s="5" t="s">
        <v>32</v>
      </c>
      <c r="G209" s="5" t="s">
        <v>38</v>
      </c>
      <c r="H209" s="5" t="s">
        <v>26</v>
      </c>
      <c r="I209" s="5" t="s">
        <v>33</v>
      </c>
      <c r="J209" s="5" t="s">
        <v>20</v>
      </c>
      <c r="K209" s="5" t="s">
        <v>155</v>
      </c>
      <c r="L209" s="5">
        <v>0.68</v>
      </c>
      <c r="M209" s="5" t="s">
        <v>156</v>
      </c>
      <c r="N209" s="5">
        <v>133.5771</v>
      </c>
      <c r="O209" s="6">
        <v>193.59</v>
      </c>
    </row>
    <row r="210" spans="1:15" x14ac:dyDescent="0.25">
      <c r="A210" s="4" t="s">
        <v>73</v>
      </c>
      <c r="B210" s="5">
        <v>7.0000000000000007E-2</v>
      </c>
      <c r="C210" s="5">
        <v>16.91</v>
      </c>
      <c r="D210" s="5">
        <v>6.25</v>
      </c>
      <c r="E210" s="5">
        <v>460</v>
      </c>
      <c r="F210" s="5" t="s">
        <v>32</v>
      </c>
      <c r="G210" s="5" t="s">
        <v>25</v>
      </c>
      <c r="H210" s="5" t="s">
        <v>18</v>
      </c>
      <c r="I210" s="5" t="s">
        <v>95</v>
      </c>
      <c r="J210" s="5" t="s">
        <v>39</v>
      </c>
      <c r="K210" s="5" t="s">
        <v>363</v>
      </c>
      <c r="L210" s="5">
        <v>0.57999999999999996</v>
      </c>
      <c r="M210" s="5" t="s">
        <v>364</v>
      </c>
      <c r="N210" s="5">
        <v>7.9</v>
      </c>
      <c r="O210" s="6">
        <v>492.9</v>
      </c>
    </row>
    <row r="211" spans="1:15" x14ac:dyDescent="0.25">
      <c r="A211" s="7" t="s">
        <v>37</v>
      </c>
      <c r="B211" s="8">
        <v>0.01</v>
      </c>
      <c r="C211" s="8">
        <v>20.34</v>
      </c>
      <c r="D211" s="8">
        <v>35</v>
      </c>
      <c r="E211" s="8">
        <v>266</v>
      </c>
      <c r="F211" s="8" t="s">
        <v>32</v>
      </c>
      <c r="G211" s="8" t="s">
        <v>17</v>
      </c>
      <c r="H211" s="8" t="s">
        <v>18</v>
      </c>
      <c r="I211" s="8" t="s">
        <v>95</v>
      </c>
      <c r="J211" s="8" t="s">
        <v>153</v>
      </c>
      <c r="K211" s="8" t="s">
        <v>248</v>
      </c>
      <c r="L211" s="8">
        <v>0.84</v>
      </c>
      <c r="M211" s="8" t="s">
        <v>246</v>
      </c>
      <c r="N211" s="8">
        <v>229.63800000000001</v>
      </c>
      <c r="O211" s="9">
        <v>747.28</v>
      </c>
    </row>
    <row r="212" spans="1:15" x14ac:dyDescent="0.25">
      <c r="A212" s="7" t="s">
        <v>23</v>
      </c>
      <c r="B212" s="8">
        <v>0.02</v>
      </c>
      <c r="C212" s="8">
        <v>12.99</v>
      </c>
      <c r="D212" s="8">
        <v>14.37</v>
      </c>
      <c r="E212" s="8">
        <v>467</v>
      </c>
      <c r="F212" s="8" t="s">
        <v>32</v>
      </c>
      <c r="G212" s="8" t="s">
        <v>38</v>
      </c>
      <c r="H212" s="8" t="s">
        <v>26</v>
      </c>
      <c r="I212" s="8" t="s">
        <v>33</v>
      </c>
      <c r="J212" s="8" t="s">
        <v>153</v>
      </c>
      <c r="K212" s="8" t="s">
        <v>369</v>
      </c>
      <c r="L212" s="8">
        <v>0.73</v>
      </c>
      <c r="M212" s="8" t="s">
        <v>370</v>
      </c>
      <c r="N212" s="8">
        <v>-556.80960000000005</v>
      </c>
      <c r="O212" s="9">
        <v>143.63</v>
      </c>
    </row>
    <row r="213" spans="1:15" x14ac:dyDescent="0.25">
      <c r="A213" s="4" t="s">
        <v>73</v>
      </c>
      <c r="B213" s="5">
        <v>0.06</v>
      </c>
      <c r="C213" s="5">
        <v>205.99</v>
      </c>
      <c r="D213" s="5">
        <v>8.99</v>
      </c>
      <c r="E213" s="5">
        <v>32</v>
      </c>
      <c r="F213" s="5" t="s">
        <v>32</v>
      </c>
      <c r="G213" s="5" t="s">
        <v>17</v>
      </c>
      <c r="H213" s="5" t="s">
        <v>52</v>
      </c>
      <c r="I213" s="5" t="s">
        <v>53</v>
      </c>
      <c r="J213" s="5" t="s">
        <v>39</v>
      </c>
      <c r="K213" s="5" t="s">
        <v>74</v>
      </c>
      <c r="L213" s="5">
        <v>0.56000000000000005</v>
      </c>
      <c r="M213" s="5" t="s">
        <v>70</v>
      </c>
      <c r="N213" s="5">
        <v>3568.096</v>
      </c>
      <c r="O213" s="6">
        <v>3838.14</v>
      </c>
    </row>
    <row r="214" spans="1:15" x14ac:dyDescent="0.25">
      <c r="A214" s="4" t="s">
        <v>37</v>
      </c>
      <c r="B214" s="5">
        <v>0.01</v>
      </c>
      <c r="C214" s="5">
        <v>35.94</v>
      </c>
      <c r="D214" s="5">
        <v>6.66</v>
      </c>
      <c r="E214" s="5">
        <v>15</v>
      </c>
      <c r="F214" s="5" t="s">
        <v>32</v>
      </c>
      <c r="G214" s="5" t="s">
        <v>38</v>
      </c>
      <c r="H214" s="5" t="s">
        <v>18</v>
      </c>
      <c r="I214" s="5" t="s">
        <v>46</v>
      </c>
      <c r="J214" s="5" t="s">
        <v>39</v>
      </c>
      <c r="K214" s="5" t="s">
        <v>49</v>
      </c>
      <c r="L214" s="5">
        <v>0.4</v>
      </c>
      <c r="M214" s="5" t="s">
        <v>48</v>
      </c>
      <c r="N214" s="5">
        <v>261.87569999999999</v>
      </c>
      <c r="O214" s="6">
        <v>379.53</v>
      </c>
    </row>
    <row r="215" spans="1:15" x14ac:dyDescent="0.25">
      <c r="A215" s="4" t="s">
        <v>73</v>
      </c>
      <c r="B215" s="5">
        <v>0.09</v>
      </c>
      <c r="C215" s="5">
        <v>35.94</v>
      </c>
      <c r="D215" s="5">
        <v>6.66</v>
      </c>
      <c r="E215" s="5">
        <v>269</v>
      </c>
      <c r="F215" s="5" t="s">
        <v>32</v>
      </c>
      <c r="G215" s="5" t="s">
        <v>25</v>
      </c>
      <c r="H215" s="5" t="s">
        <v>18</v>
      </c>
      <c r="I215" s="5" t="s">
        <v>46</v>
      </c>
      <c r="J215" s="5" t="s">
        <v>39</v>
      </c>
      <c r="K215" s="5" t="s">
        <v>49</v>
      </c>
      <c r="L215" s="5">
        <v>0.4</v>
      </c>
      <c r="M215" s="5" t="s">
        <v>252</v>
      </c>
      <c r="N215" s="5">
        <v>144.2928</v>
      </c>
      <c r="O215" s="6">
        <v>209.12</v>
      </c>
    </row>
    <row r="216" spans="1:15" x14ac:dyDescent="0.25">
      <c r="A216" s="4" t="s">
        <v>73</v>
      </c>
      <c r="B216" s="5">
        <v>0.09</v>
      </c>
      <c r="C216" s="5">
        <v>35.94</v>
      </c>
      <c r="D216" s="5">
        <v>6.66</v>
      </c>
      <c r="E216" s="5">
        <v>272</v>
      </c>
      <c r="F216" s="5" t="s">
        <v>32</v>
      </c>
      <c r="G216" s="5" t="s">
        <v>25</v>
      </c>
      <c r="H216" s="5" t="s">
        <v>18</v>
      </c>
      <c r="I216" s="5" t="s">
        <v>46</v>
      </c>
      <c r="J216" s="5" t="s">
        <v>39</v>
      </c>
      <c r="K216" s="5" t="s">
        <v>49</v>
      </c>
      <c r="L216" s="5">
        <v>0.4</v>
      </c>
      <c r="M216" s="5" t="s">
        <v>257</v>
      </c>
      <c r="N216" s="5">
        <v>72.1858</v>
      </c>
      <c r="O216" s="6">
        <v>836.47</v>
      </c>
    </row>
    <row r="217" spans="1:15" x14ac:dyDescent="0.25">
      <c r="A217" s="7" t="s">
        <v>31</v>
      </c>
      <c r="B217" s="8">
        <v>0.04</v>
      </c>
      <c r="C217" s="8">
        <v>37.700000000000003</v>
      </c>
      <c r="D217" s="8">
        <v>2.99</v>
      </c>
      <c r="E217" s="8">
        <v>451</v>
      </c>
      <c r="F217" s="8" t="s">
        <v>32</v>
      </c>
      <c r="G217" s="8" t="s">
        <v>25</v>
      </c>
      <c r="H217" s="8" t="s">
        <v>18</v>
      </c>
      <c r="I217" s="8" t="s">
        <v>75</v>
      </c>
      <c r="J217" s="8" t="s">
        <v>39</v>
      </c>
      <c r="K217" s="8" t="s">
        <v>359</v>
      </c>
      <c r="L217" s="8">
        <v>0.35</v>
      </c>
      <c r="M217" s="8" t="s">
        <v>358</v>
      </c>
      <c r="N217" s="8">
        <v>299.6739</v>
      </c>
      <c r="O217" s="9">
        <v>434.31</v>
      </c>
    </row>
    <row r="218" spans="1:15" x14ac:dyDescent="0.25">
      <c r="A218" s="7" t="s">
        <v>15</v>
      </c>
      <c r="B218" s="8">
        <v>0.09</v>
      </c>
      <c r="C218" s="8">
        <v>5.98</v>
      </c>
      <c r="D218" s="8">
        <v>2.5</v>
      </c>
      <c r="E218" s="8">
        <v>151</v>
      </c>
      <c r="F218" s="8" t="s">
        <v>32</v>
      </c>
      <c r="G218" s="8" t="s">
        <v>25</v>
      </c>
      <c r="H218" s="8" t="s">
        <v>18</v>
      </c>
      <c r="I218" s="8" t="s">
        <v>46</v>
      </c>
      <c r="J218" s="8" t="s">
        <v>39</v>
      </c>
      <c r="K218" s="8" t="s">
        <v>160</v>
      </c>
      <c r="L218" s="8">
        <v>0.36</v>
      </c>
      <c r="M218" s="8" t="s">
        <v>159</v>
      </c>
      <c r="N218" s="8">
        <v>13.896000000000001</v>
      </c>
      <c r="O218" s="9">
        <v>28.11</v>
      </c>
    </row>
    <row r="219" spans="1:15" x14ac:dyDescent="0.25">
      <c r="A219" s="4" t="s">
        <v>37</v>
      </c>
      <c r="B219" s="5">
        <v>7.0000000000000007E-2</v>
      </c>
      <c r="C219" s="5">
        <v>6.54</v>
      </c>
      <c r="D219" s="5">
        <v>5.27</v>
      </c>
      <c r="E219" s="5">
        <v>193</v>
      </c>
      <c r="F219" s="5" t="s">
        <v>32</v>
      </c>
      <c r="G219" s="5" t="s">
        <v>17</v>
      </c>
      <c r="H219" s="5" t="s">
        <v>18</v>
      </c>
      <c r="I219" s="5" t="s">
        <v>75</v>
      </c>
      <c r="J219" s="5" t="s">
        <v>39</v>
      </c>
      <c r="K219" s="5" t="s">
        <v>193</v>
      </c>
      <c r="L219" s="5">
        <v>0.36</v>
      </c>
      <c r="M219" s="5" t="s">
        <v>139</v>
      </c>
      <c r="N219" s="5">
        <v>-66.044499999999999</v>
      </c>
      <c r="O219" s="6">
        <v>140.30000000000001</v>
      </c>
    </row>
    <row r="220" spans="1:15" x14ac:dyDescent="0.25">
      <c r="A220" s="4" t="s">
        <v>37</v>
      </c>
      <c r="B220" s="5">
        <v>0.06</v>
      </c>
      <c r="C220" s="5">
        <v>7.04</v>
      </c>
      <c r="D220" s="5">
        <v>2.17</v>
      </c>
      <c r="E220" s="5">
        <v>145</v>
      </c>
      <c r="F220" s="5" t="s">
        <v>32</v>
      </c>
      <c r="G220" s="5" t="s">
        <v>38</v>
      </c>
      <c r="H220" s="5" t="s">
        <v>18</v>
      </c>
      <c r="I220" s="5" t="s">
        <v>63</v>
      </c>
      <c r="J220" s="5" t="s">
        <v>20</v>
      </c>
      <c r="K220" s="5" t="s">
        <v>151</v>
      </c>
      <c r="L220" s="5">
        <v>0.38</v>
      </c>
      <c r="M220" s="5" t="s">
        <v>152</v>
      </c>
      <c r="N220" s="5">
        <v>2.4851999999999999</v>
      </c>
      <c r="O220" s="6">
        <v>14.65</v>
      </c>
    </row>
    <row r="221" spans="1:15" x14ac:dyDescent="0.25">
      <c r="A221" s="4" t="s">
        <v>23</v>
      </c>
      <c r="B221" s="5">
        <v>0.03</v>
      </c>
      <c r="C221" s="5">
        <v>11.34</v>
      </c>
      <c r="D221" s="5">
        <v>5.01</v>
      </c>
      <c r="E221" s="5">
        <v>470</v>
      </c>
      <c r="F221" s="5" t="s">
        <v>32</v>
      </c>
      <c r="G221" s="5" t="s">
        <v>38</v>
      </c>
      <c r="H221" s="5" t="s">
        <v>18</v>
      </c>
      <c r="I221" s="5" t="s">
        <v>63</v>
      </c>
      <c r="J221" s="5" t="s">
        <v>39</v>
      </c>
      <c r="K221" s="5" t="s">
        <v>374</v>
      </c>
      <c r="L221" s="5">
        <v>0.36</v>
      </c>
      <c r="M221" s="5" t="s">
        <v>375</v>
      </c>
      <c r="N221" s="5">
        <v>23.2028</v>
      </c>
      <c r="O221" s="6">
        <v>60.24</v>
      </c>
    </row>
    <row r="222" spans="1:15" x14ac:dyDescent="0.25">
      <c r="A222" s="7" t="s">
        <v>15</v>
      </c>
      <c r="B222" s="8">
        <v>0.09</v>
      </c>
      <c r="C222" s="8">
        <v>4.9800000000000004</v>
      </c>
      <c r="D222" s="8">
        <v>6.07</v>
      </c>
      <c r="E222" s="8">
        <v>92</v>
      </c>
      <c r="F222" s="8" t="s">
        <v>32</v>
      </c>
      <c r="G222" s="8" t="s">
        <v>25</v>
      </c>
      <c r="H222" s="8" t="s">
        <v>18</v>
      </c>
      <c r="I222" s="8" t="s">
        <v>63</v>
      </c>
      <c r="J222" s="8" t="s">
        <v>39</v>
      </c>
      <c r="K222" s="8" t="s">
        <v>116</v>
      </c>
      <c r="L222" s="8">
        <v>0.36</v>
      </c>
      <c r="M222" s="8" t="s">
        <v>115</v>
      </c>
      <c r="N222" s="8">
        <v>325.39800000000002</v>
      </c>
      <c r="O222" s="9">
        <v>45.34</v>
      </c>
    </row>
    <row r="223" spans="1:15" x14ac:dyDescent="0.25">
      <c r="A223" s="7" t="s">
        <v>73</v>
      </c>
      <c r="B223" s="8">
        <v>7.0000000000000007E-2</v>
      </c>
      <c r="C223" s="8">
        <v>6.68</v>
      </c>
      <c r="D223" s="8">
        <v>6.92</v>
      </c>
      <c r="E223" s="8">
        <v>353</v>
      </c>
      <c r="F223" s="8" t="s">
        <v>32</v>
      </c>
      <c r="G223" s="8" t="s">
        <v>25</v>
      </c>
      <c r="H223" s="8" t="s">
        <v>18</v>
      </c>
      <c r="I223" s="8" t="s">
        <v>63</v>
      </c>
      <c r="J223" s="8" t="s">
        <v>39</v>
      </c>
      <c r="K223" s="8" t="s">
        <v>302</v>
      </c>
      <c r="L223" s="8">
        <v>0.37</v>
      </c>
      <c r="M223" s="8" t="s">
        <v>301</v>
      </c>
      <c r="N223" s="8">
        <v>-141.12</v>
      </c>
      <c r="O223" s="9">
        <v>104.84</v>
      </c>
    </row>
    <row r="224" spans="1:15" x14ac:dyDescent="0.25">
      <c r="A224" s="4" t="s">
        <v>23</v>
      </c>
      <c r="B224" s="5">
        <v>0.02</v>
      </c>
      <c r="C224" s="5">
        <v>5.98</v>
      </c>
      <c r="D224" s="5">
        <v>5.79</v>
      </c>
      <c r="E224" s="5">
        <v>53</v>
      </c>
      <c r="F224" s="5" t="s">
        <v>32</v>
      </c>
      <c r="G224" s="5" t="s">
        <v>17</v>
      </c>
      <c r="H224" s="5" t="s">
        <v>18</v>
      </c>
      <c r="I224" s="5" t="s">
        <v>63</v>
      </c>
      <c r="J224" s="5" t="s">
        <v>39</v>
      </c>
      <c r="K224" s="5" t="s">
        <v>85</v>
      </c>
      <c r="L224" s="5">
        <v>0.36</v>
      </c>
      <c r="M224" s="5" t="s">
        <v>81</v>
      </c>
      <c r="N224" s="5">
        <v>-67.489999999999995</v>
      </c>
      <c r="O224" s="6">
        <v>110.19</v>
      </c>
    </row>
    <row r="225" spans="1:15" x14ac:dyDescent="0.25">
      <c r="A225" s="4" t="s">
        <v>73</v>
      </c>
      <c r="B225" s="5">
        <v>0.09</v>
      </c>
      <c r="C225" s="5">
        <v>4.9800000000000004</v>
      </c>
      <c r="D225" s="5">
        <v>7.44</v>
      </c>
      <c r="E225" s="5">
        <v>269</v>
      </c>
      <c r="F225" s="5" t="s">
        <v>32</v>
      </c>
      <c r="G225" s="5" t="s">
        <v>25</v>
      </c>
      <c r="H225" s="5" t="s">
        <v>18</v>
      </c>
      <c r="I225" s="5" t="s">
        <v>63</v>
      </c>
      <c r="J225" s="5" t="s">
        <v>39</v>
      </c>
      <c r="K225" s="5" t="s">
        <v>254</v>
      </c>
      <c r="L225" s="5">
        <v>0.36</v>
      </c>
      <c r="M225" s="5" t="s">
        <v>252</v>
      </c>
      <c r="N225" s="5">
        <v>-46.005000000000003</v>
      </c>
      <c r="O225" s="6">
        <v>46.17</v>
      </c>
    </row>
    <row r="226" spans="1:15" x14ac:dyDescent="0.25">
      <c r="A226" s="7" t="s">
        <v>73</v>
      </c>
      <c r="B226" s="8">
        <v>0.09</v>
      </c>
      <c r="C226" s="8">
        <v>4.9800000000000004</v>
      </c>
      <c r="D226" s="8">
        <v>7.44</v>
      </c>
      <c r="E226" s="8">
        <v>272</v>
      </c>
      <c r="F226" s="8" t="s">
        <v>32</v>
      </c>
      <c r="G226" s="8" t="s">
        <v>25</v>
      </c>
      <c r="H226" s="8" t="s">
        <v>18</v>
      </c>
      <c r="I226" s="8" t="s">
        <v>63</v>
      </c>
      <c r="J226" s="8" t="s">
        <v>39</v>
      </c>
      <c r="K226" s="8" t="s">
        <v>254</v>
      </c>
      <c r="L226" s="8">
        <v>0.36</v>
      </c>
      <c r="M226" s="8" t="s">
        <v>257</v>
      </c>
      <c r="N226" s="8">
        <v>-122.3733</v>
      </c>
      <c r="O226" s="9">
        <v>189.83</v>
      </c>
    </row>
    <row r="227" spans="1:15" x14ac:dyDescent="0.25">
      <c r="A227" s="7" t="s">
        <v>31</v>
      </c>
      <c r="B227" s="8">
        <v>0.06</v>
      </c>
      <c r="C227" s="8">
        <v>22.84</v>
      </c>
      <c r="D227" s="8">
        <v>5.47</v>
      </c>
      <c r="E227" s="8">
        <v>395</v>
      </c>
      <c r="F227" s="8" t="s">
        <v>32</v>
      </c>
      <c r="G227" s="8" t="s">
        <v>17</v>
      </c>
      <c r="H227" s="8" t="s">
        <v>18</v>
      </c>
      <c r="I227" s="8" t="s">
        <v>63</v>
      </c>
      <c r="J227" s="8" t="s">
        <v>39</v>
      </c>
      <c r="K227" s="8" t="s">
        <v>335</v>
      </c>
      <c r="L227" s="8">
        <v>0.39</v>
      </c>
      <c r="M227" s="8" t="s">
        <v>334</v>
      </c>
      <c r="N227" s="8">
        <v>7.44</v>
      </c>
      <c r="O227" s="9">
        <v>461.94</v>
      </c>
    </row>
    <row r="228" spans="1:15" x14ac:dyDescent="0.25">
      <c r="A228" s="7" t="s">
        <v>15</v>
      </c>
      <c r="B228" s="8">
        <v>0.02</v>
      </c>
      <c r="C228" s="8">
        <v>5.98</v>
      </c>
      <c r="D228" s="8">
        <v>5.15</v>
      </c>
      <c r="E228" s="8">
        <v>62</v>
      </c>
      <c r="F228" s="8" t="s">
        <v>32</v>
      </c>
      <c r="G228" s="8" t="s">
        <v>17</v>
      </c>
      <c r="H228" s="8" t="s">
        <v>18</v>
      </c>
      <c r="I228" s="8" t="s">
        <v>63</v>
      </c>
      <c r="J228" s="8" t="s">
        <v>39</v>
      </c>
      <c r="K228" s="8" t="s">
        <v>89</v>
      </c>
      <c r="L228" s="8">
        <v>0.36</v>
      </c>
      <c r="M228" s="8" t="s">
        <v>90</v>
      </c>
      <c r="N228" s="8">
        <v>2.14</v>
      </c>
      <c r="O228" s="9">
        <v>22.85</v>
      </c>
    </row>
    <row r="229" spans="1:15" x14ac:dyDescent="0.25">
      <c r="A229" s="7" t="s">
        <v>23</v>
      </c>
      <c r="B229" s="8">
        <v>0.04</v>
      </c>
      <c r="C229" s="8">
        <v>5.98</v>
      </c>
      <c r="D229" s="8">
        <v>5.15</v>
      </c>
      <c r="E229" s="8">
        <v>317</v>
      </c>
      <c r="F229" s="8" t="s">
        <v>32</v>
      </c>
      <c r="G229" s="8" t="s">
        <v>17</v>
      </c>
      <c r="H229" s="8" t="s">
        <v>18</v>
      </c>
      <c r="I229" s="8" t="s">
        <v>63</v>
      </c>
      <c r="J229" s="8" t="s">
        <v>39</v>
      </c>
      <c r="K229" s="8" t="s">
        <v>89</v>
      </c>
      <c r="L229" s="8">
        <v>0.36</v>
      </c>
      <c r="M229" s="8" t="s">
        <v>279</v>
      </c>
      <c r="N229" s="8">
        <v>-52.344000000000001</v>
      </c>
      <c r="O229" s="9">
        <v>103.49</v>
      </c>
    </row>
    <row r="230" spans="1:15" x14ac:dyDescent="0.25">
      <c r="A230" s="7" t="s">
        <v>23</v>
      </c>
      <c r="B230" s="8">
        <v>0.09</v>
      </c>
      <c r="C230" s="8">
        <v>12.28</v>
      </c>
      <c r="D230" s="8">
        <v>4.8600000000000003</v>
      </c>
      <c r="E230" s="8">
        <v>202</v>
      </c>
      <c r="F230" s="8" t="s">
        <v>32</v>
      </c>
      <c r="G230" s="8" t="s">
        <v>17</v>
      </c>
      <c r="H230" s="8" t="s">
        <v>18</v>
      </c>
      <c r="I230" s="8" t="s">
        <v>63</v>
      </c>
      <c r="J230" s="8" t="s">
        <v>39</v>
      </c>
      <c r="K230" s="8" t="s">
        <v>199</v>
      </c>
      <c r="L230" s="8">
        <v>0.38</v>
      </c>
      <c r="M230" s="8" t="s">
        <v>200</v>
      </c>
      <c r="N230" s="8">
        <v>1.73</v>
      </c>
      <c r="O230" s="9">
        <v>34.65</v>
      </c>
    </row>
    <row r="231" spans="1:15" x14ac:dyDescent="0.25">
      <c r="A231" s="4" t="s">
        <v>31</v>
      </c>
      <c r="B231" s="5">
        <v>0.04</v>
      </c>
      <c r="C231" s="5">
        <v>18.97</v>
      </c>
      <c r="D231" s="5">
        <v>9.5399999999999991</v>
      </c>
      <c r="E231" s="5">
        <v>136</v>
      </c>
      <c r="F231" s="5" t="s">
        <v>32</v>
      </c>
      <c r="G231" s="5" t="s">
        <v>38</v>
      </c>
      <c r="H231" s="5" t="s">
        <v>18</v>
      </c>
      <c r="I231" s="5" t="s">
        <v>63</v>
      </c>
      <c r="J231" s="5" t="s">
        <v>39</v>
      </c>
      <c r="K231" s="5" t="s">
        <v>145</v>
      </c>
      <c r="L231" s="5">
        <v>0.37</v>
      </c>
      <c r="M231" s="5" t="s">
        <v>146</v>
      </c>
      <c r="N231" s="5">
        <v>3.04</v>
      </c>
      <c r="O231" s="6">
        <v>101.74</v>
      </c>
    </row>
    <row r="232" spans="1:15" x14ac:dyDescent="0.25">
      <c r="A232" s="4" t="s">
        <v>15</v>
      </c>
      <c r="B232" s="5">
        <v>0.06</v>
      </c>
      <c r="C232" s="5">
        <v>55.48</v>
      </c>
      <c r="D232" s="5">
        <v>14.3</v>
      </c>
      <c r="E232" s="5">
        <v>24</v>
      </c>
      <c r="F232" s="5" t="s">
        <v>32</v>
      </c>
      <c r="G232" s="5" t="s">
        <v>17</v>
      </c>
      <c r="H232" s="5" t="s">
        <v>18</v>
      </c>
      <c r="I232" s="5" t="s">
        <v>63</v>
      </c>
      <c r="J232" s="5" t="s">
        <v>39</v>
      </c>
      <c r="K232" s="5" t="s">
        <v>64</v>
      </c>
      <c r="L232" s="5">
        <v>0.37</v>
      </c>
      <c r="M232" s="5" t="s">
        <v>65</v>
      </c>
      <c r="N232" s="5">
        <v>-28.296800000000001</v>
      </c>
      <c r="O232" s="6">
        <v>67.489999999999995</v>
      </c>
    </row>
    <row r="233" spans="1:15" x14ac:dyDescent="0.25">
      <c r="A233" s="7" t="s">
        <v>37</v>
      </c>
      <c r="B233" s="8">
        <v>0.02</v>
      </c>
      <c r="C233" s="8">
        <v>4.9800000000000004</v>
      </c>
      <c r="D233" s="8">
        <v>5.49</v>
      </c>
      <c r="E233" s="8">
        <v>164</v>
      </c>
      <c r="F233" s="8" t="s">
        <v>32</v>
      </c>
      <c r="G233" s="8" t="s">
        <v>25</v>
      </c>
      <c r="H233" s="8" t="s">
        <v>18</v>
      </c>
      <c r="I233" s="8" t="s">
        <v>63</v>
      </c>
      <c r="J233" s="8" t="s">
        <v>39</v>
      </c>
      <c r="K233" s="8" t="s">
        <v>172</v>
      </c>
      <c r="L233" s="8">
        <v>0.38</v>
      </c>
      <c r="M233" s="8" t="s">
        <v>171</v>
      </c>
      <c r="N233" s="8">
        <v>-77.03</v>
      </c>
      <c r="O233" s="9">
        <v>45.63</v>
      </c>
    </row>
    <row r="234" spans="1:15" x14ac:dyDescent="0.25">
      <c r="A234" s="4" t="s">
        <v>31</v>
      </c>
      <c r="B234" s="5">
        <v>0.03</v>
      </c>
      <c r="C234" s="5">
        <v>22.84</v>
      </c>
      <c r="D234" s="5">
        <v>11.54</v>
      </c>
      <c r="E234" s="5">
        <v>142</v>
      </c>
      <c r="F234" s="5" t="s">
        <v>32</v>
      </c>
      <c r="G234" s="5" t="s">
        <v>38</v>
      </c>
      <c r="H234" s="5" t="s">
        <v>18</v>
      </c>
      <c r="I234" s="5" t="s">
        <v>63</v>
      </c>
      <c r="J234" s="5" t="s">
        <v>39</v>
      </c>
      <c r="K234" s="5" t="s">
        <v>148</v>
      </c>
      <c r="L234" s="5">
        <v>0.39</v>
      </c>
      <c r="M234" s="5" t="s">
        <v>149</v>
      </c>
      <c r="N234" s="5">
        <v>91.956000000000003</v>
      </c>
      <c r="O234" s="6">
        <v>312.58999999999997</v>
      </c>
    </row>
    <row r="235" spans="1:15" x14ac:dyDescent="0.25">
      <c r="A235" s="7" t="s">
        <v>23</v>
      </c>
      <c r="B235" s="8">
        <v>0.02</v>
      </c>
      <c r="C235" s="8">
        <v>4.28</v>
      </c>
      <c r="D235" s="8">
        <v>5.17</v>
      </c>
      <c r="E235" s="8">
        <v>373</v>
      </c>
      <c r="F235" s="8" t="s">
        <v>32</v>
      </c>
      <c r="G235" s="8" t="s">
        <v>38</v>
      </c>
      <c r="H235" s="8" t="s">
        <v>18</v>
      </c>
      <c r="I235" s="8" t="s">
        <v>63</v>
      </c>
      <c r="J235" s="8" t="s">
        <v>39</v>
      </c>
      <c r="K235" s="8" t="s">
        <v>315</v>
      </c>
      <c r="L235" s="8">
        <v>0.4</v>
      </c>
      <c r="M235" s="8" t="s">
        <v>198</v>
      </c>
      <c r="N235" s="8">
        <v>-63.87</v>
      </c>
      <c r="O235" s="9">
        <v>109.86</v>
      </c>
    </row>
    <row r="236" spans="1:15" x14ac:dyDescent="0.25">
      <c r="A236" s="4" t="s">
        <v>23</v>
      </c>
      <c r="B236" s="5">
        <v>0.02</v>
      </c>
      <c r="C236" s="5">
        <v>4.28</v>
      </c>
      <c r="D236" s="5">
        <v>5.17</v>
      </c>
      <c r="E236" s="5">
        <v>375</v>
      </c>
      <c r="F236" s="5" t="s">
        <v>32</v>
      </c>
      <c r="G236" s="5" t="s">
        <v>38</v>
      </c>
      <c r="H236" s="5" t="s">
        <v>18</v>
      </c>
      <c r="I236" s="5" t="s">
        <v>63</v>
      </c>
      <c r="J236" s="5" t="s">
        <v>39</v>
      </c>
      <c r="K236" s="5" t="s">
        <v>315</v>
      </c>
      <c r="L236" s="5">
        <v>0.4</v>
      </c>
      <c r="M236" s="5" t="s">
        <v>317</v>
      </c>
      <c r="N236" s="5">
        <v>196.8</v>
      </c>
      <c r="O236" s="6">
        <v>27.47</v>
      </c>
    </row>
    <row r="237" spans="1:15" x14ac:dyDescent="0.25">
      <c r="A237" s="7" t="s">
        <v>23</v>
      </c>
      <c r="B237" s="8">
        <v>0.02</v>
      </c>
      <c r="C237" s="8">
        <v>6.48</v>
      </c>
      <c r="D237" s="8">
        <v>9.17</v>
      </c>
      <c r="E237" s="8">
        <v>194</v>
      </c>
      <c r="F237" s="8" t="s">
        <v>32</v>
      </c>
      <c r="G237" s="8" t="s">
        <v>17</v>
      </c>
      <c r="H237" s="8" t="s">
        <v>18</v>
      </c>
      <c r="I237" s="8" t="s">
        <v>63</v>
      </c>
      <c r="J237" s="8" t="s">
        <v>39</v>
      </c>
      <c r="K237" s="8" t="s">
        <v>194</v>
      </c>
      <c r="L237" s="8">
        <v>0.37</v>
      </c>
      <c r="M237" s="8" t="s">
        <v>195</v>
      </c>
      <c r="N237" s="8">
        <v>-105.68519999999999</v>
      </c>
      <c r="O237" s="9">
        <v>28.2</v>
      </c>
    </row>
    <row r="238" spans="1:15" x14ac:dyDescent="0.25">
      <c r="A238" s="4" t="s">
        <v>37</v>
      </c>
      <c r="B238" s="5">
        <v>0.08</v>
      </c>
      <c r="C238" s="5">
        <v>6.48</v>
      </c>
      <c r="D238" s="5">
        <v>7.03</v>
      </c>
      <c r="E238" s="5">
        <v>266</v>
      </c>
      <c r="F238" s="5" t="s">
        <v>32</v>
      </c>
      <c r="G238" s="5" t="s">
        <v>17</v>
      </c>
      <c r="H238" s="5" t="s">
        <v>18</v>
      </c>
      <c r="I238" s="5" t="s">
        <v>63</v>
      </c>
      <c r="J238" s="5" t="s">
        <v>39</v>
      </c>
      <c r="K238" s="5" t="s">
        <v>247</v>
      </c>
      <c r="L238" s="5">
        <v>0.37</v>
      </c>
      <c r="M238" s="5" t="s">
        <v>246</v>
      </c>
      <c r="N238" s="5">
        <v>8.9320000000000004</v>
      </c>
      <c r="O238" s="6">
        <v>67.86</v>
      </c>
    </row>
    <row r="239" spans="1:15" x14ac:dyDescent="0.25">
      <c r="A239" s="4" t="s">
        <v>31</v>
      </c>
      <c r="B239" s="5">
        <v>0.03</v>
      </c>
      <c r="C239" s="5">
        <v>5.28</v>
      </c>
      <c r="D239" s="5">
        <v>5.66</v>
      </c>
      <c r="E239" s="5">
        <v>388</v>
      </c>
      <c r="F239" s="5" t="s">
        <v>32</v>
      </c>
      <c r="G239" s="5" t="s">
        <v>17</v>
      </c>
      <c r="H239" s="5" t="s">
        <v>18</v>
      </c>
      <c r="I239" s="5" t="s">
        <v>63</v>
      </c>
      <c r="J239" s="5" t="s">
        <v>39</v>
      </c>
      <c r="K239" s="5" t="s">
        <v>324</v>
      </c>
      <c r="L239" s="5">
        <v>0.4</v>
      </c>
      <c r="M239" s="5" t="s">
        <v>325</v>
      </c>
      <c r="N239" s="5">
        <v>-51.559199999999997</v>
      </c>
      <c r="O239" s="6">
        <v>22.82</v>
      </c>
    </row>
    <row r="240" spans="1:15" x14ac:dyDescent="0.25">
      <c r="A240" s="7" t="s">
        <v>37</v>
      </c>
      <c r="B240" s="8">
        <v>0.1</v>
      </c>
      <c r="C240" s="8">
        <v>19.98</v>
      </c>
      <c r="D240" s="8">
        <v>5.77</v>
      </c>
      <c r="E240" s="8">
        <v>240</v>
      </c>
      <c r="F240" s="8" t="s">
        <v>16</v>
      </c>
      <c r="G240" s="8" t="s">
        <v>38</v>
      </c>
      <c r="H240" s="8" t="s">
        <v>18</v>
      </c>
      <c r="I240" s="8" t="s">
        <v>63</v>
      </c>
      <c r="J240" s="8" t="s">
        <v>39</v>
      </c>
      <c r="K240" s="8" t="s">
        <v>223</v>
      </c>
      <c r="L240" s="8">
        <v>0.38</v>
      </c>
      <c r="M240" s="8" t="s">
        <v>224</v>
      </c>
      <c r="N240" s="8">
        <v>35.090000000000003</v>
      </c>
      <c r="O240" s="9">
        <v>57.41</v>
      </c>
    </row>
    <row r="241" spans="1:15" x14ac:dyDescent="0.25">
      <c r="A241" s="7" t="s">
        <v>31</v>
      </c>
      <c r="B241" s="8">
        <v>0.02</v>
      </c>
      <c r="C241" s="8">
        <v>49.99</v>
      </c>
      <c r="D241" s="8">
        <v>19.989999999999998</v>
      </c>
      <c r="E241" s="8">
        <v>181</v>
      </c>
      <c r="F241" s="8" t="s">
        <v>32</v>
      </c>
      <c r="G241" s="8" t="s">
        <v>38</v>
      </c>
      <c r="H241" s="8" t="s">
        <v>52</v>
      </c>
      <c r="I241" s="8" t="s">
        <v>121</v>
      </c>
      <c r="J241" s="8" t="s">
        <v>39</v>
      </c>
      <c r="K241" s="8" t="s">
        <v>181</v>
      </c>
      <c r="L241" s="8">
        <v>0.41</v>
      </c>
      <c r="M241" s="8" t="s">
        <v>182</v>
      </c>
      <c r="N241" s="8">
        <v>-76.89</v>
      </c>
      <c r="O241" s="9">
        <v>901.81</v>
      </c>
    </row>
    <row r="242" spans="1:15" x14ac:dyDescent="0.25">
      <c r="A242" s="7" t="s">
        <v>31</v>
      </c>
      <c r="B242" s="8">
        <v>0.02</v>
      </c>
      <c r="C242" s="8">
        <v>49.99</v>
      </c>
      <c r="D242" s="8">
        <v>19.989999999999998</v>
      </c>
      <c r="E242" s="8">
        <v>184</v>
      </c>
      <c r="F242" s="8" t="s">
        <v>32</v>
      </c>
      <c r="G242" s="8" t="s">
        <v>38</v>
      </c>
      <c r="H242" s="8" t="s">
        <v>52</v>
      </c>
      <c r="I242" s="8" t="s">
        <v>121</v>
      </c>
      <c r="J242" s="8" t="s">
        <v>39</v>
      </c>
      <c r="K242" s="8" t="s">
        <v>181</v>
      </c>
      <c r="L242" s="8">
        <v>0.41</v>
      </c>
      <c r="M242" s="8" t="s">
        <v>183</v>
      </c>
      <c r="N242" s="8">
        <v>-76.89</v>
      </c>
      <c r="O242" s="9">
        <v>250.5</v>
      </c>
    </row>
    <row r="243" spans="1:15" x14ac:dyDescent="0.25">
      <c r="A243" s="4" t="s">
        <v>23</v>
      </c>
      <c r="B243" s="5">
        <v>0</v>
      </c>
      <c r="C243" s="5">
        <v>115.99</v>
      </c>
      <c r="D243" s="5">
        <v>2.5</v>
      </c>
      <c r="E243" s="5">
        <v>52</v>
      </c>
      <c r="F243" s="5" t="s">
        <v>32</v>
      </c>
      <c r="G243" s="5" t="s">
        <v>17</v>
      </c>
      <c r="H243" s="5" t="s">
        <v>52</v>
      </c>
      <c r="I243" s="5" t="s">
        <v>53</v>
      </c>
      <c r="J243" s="5" t="s">
        <v>39</v>
      </c>
      <c r="K243" s="5"/>
      <c r="L243" s="5">
        <v>0.56999999999999995</v>
      </c>
      <c r="M243" s="5" t="s">
        <v>82</v>
      </c>
      <c r="N243" s="5">
        <v>162.666</v>
      </c>
      <c r="O243" s="6">
        <v>627.04</v>
      </c>
    </row>
    <row r="244" spans="1:15" x14ac:dyDescent="0.25">
      <c r="A244" s="4" t="s">
        <v>23</v>
      </c>
      <c r="B244" s="5">
        <v>0.02</v>
      </c>
      <c r="C244" s="5">
        <v>175.99</v>
      </c>
      <c r="D244" s="5">
        <v>4.99</v>
      </c>
      <c r="E244" s="5">
        <v>64</v>
      </c>
      <c r="F244" s="5" t="s">
        <v>16</v>
      </c>
      <c r="G244" s="5" t="s">
        <v>38</v>
      </c>
      <c r="H244" s="5" t="s">
        <v>52</v>
      </c>
      <c r="I244" s="5" t="s">
        <v>53</v>
      </c>
      <c r="J244" s="5" t="s">
        <v>39</v>
      </c>
      <c r="K244" s="5"/>
      <c r="L244" s="5">
        <v>0.59</v>
      </c>
      <c r="M244" s="5" t="s">
        <v>94</v>
      </c>
      <c r="N244" s="5">
        <v>101.49</v>
      </c>
      <c r="O244" s="6">
        <v>589.79999999999995</v>
      </c>
    </row>
    <row r="245" spans="1:15" x14ac:dyDescent="0.25">
      <c r="A245" s="7" t="s">
        <v>37</v>
      </c>
      <c r="B245" s="8">
        <v>0.06</v>
      </c>
      <c r="C245" s="8">
        <v>175.99</v>
      </c>
      <c r="D245" s="8">
        <v>8.99</v>
      </c>
      <c r="E245" s="8">
        <v>91</v>
      </c>
      <c r="F245" s="8" t="s">
        <v>32</v>
      </c>
      <c r="G245" s="8" t="s">
        <v>17</v>
      </c>
      <c r="H245" s="8" t="s">
        <v>52</v>
      </c>
      <c r="I245" s="8" t="s">
        <v>53</v>
      </c>
      <c r="J245" s="8" t="s">
        <v>39</v>
      </c>
      <c r="K245" s="8"/>
      <c r="L245" s="8">
        <v>0.56999999999999995</v>
      </c>
      <c r="M245" s="8" t="s">
        <v>112</v>
      </c>
      <c r="N245" s="8">
        <v>2031.5070000000001</v>
      </c>
      <c r="O245" s="9">
        <v>3363.53</v>
      </c>
    </row>
    <row r="246" spans="1:15" x14ac:dyDescent="0.25">
      <c r="A246" s="4" t="s">
        <v>23</v>
      </c>
      <c r="B246" s="5">
        <v>0.06</v>
      </c>
      <c r="C246" s="5">
        <v>115.99</v>
      </c>
      <c r="D246" s="5">
        <v>8.99</v>
      </c>
      <c r="E246" s="5">
        <v>97</v>
      </c>
      <c r="F246" s="5" t="s">
        <v>32</v>
      </c>
      <c r="G246" s="5" t="s">
        <v>25</v>
      </c>
      <c r="H246" s="5" t="s">
        <v>52</v>
      </c>
      <c r="I246" s="5" t="s">
        <v>53</v>
      </c>
      <c r="J246" s="5" t="s">
        <v>39</v>
      </c>
      <c r="K246" s="5"/>
      <c r="L246" s="5">
        <v>0.57999999999999996</v>
      </c>
      <c r="M246" s="5" t="s">
        <v>123</v>
      </c>
      <c r="N246" s="5">
        <v>685.6146</v>
      </c>
      <c r="O246" s="6">
        <v>1952.56</v>
      </c>
    </row>
    <row r="247" spans="1:15" x14ac:dyDescent="0.25">
      <c r="A247" s="4" t="s">
        <v>15</v>
      </c>
      <c r="B247" s="5">
        <v>0.09</v>
      </c>
      <c r="C247" s="5">
        <v>205.99</v>
      </c>
      <c r="D247" s="5">
        <v>3</v>
      </c>
      <c r="E247" s="5">
        <v>120</v>
      </c>
      <c r="F247" s="5" t="s">
        <v>16</v>
      </c>
      <c r="G247" s="5" t="s">
        <v>17</v>
      </c>
      <c r="H247" s="5" t="s">
        <v>52</v>
      </c>
      <c r="I247" s="5" t="s">
        <v>53</v>
      </c>
      <c r="J247" s="5" t="s">
        <v>39</v>
      </c>
      <c r="K247" s="5"/>
      <c r="L247" s="5">
        <v>0.57999999999999996</v>
      </c>
      <c r="M247" s="5" t="s">
        <v>139</v>
      </c>
      <c r="N247" s="5">
        <v>1179.0237</v>
      </c>
      <c r="O247" s="6">
        <v>1708.73</v>
      </c>
    </row>
    <row r="248" spans="1:15" x14ac:dyDescent="0.25">
      <c r="A248" s="4" t="s">
        <v>37</v>
      </c>
      <c r="B248" s="5">
        <v>0</v>
      </c>
      <c r="C248" s="5">
        <v>65.989999999999995</v>
      </c>
      <c r="D248" s="5">
        <v>5.92</v>
      </c>
      <c r="E248" s="5">
        <v>211</v>
      </c>
      <c r="F248" s="5" t="s">
        <v>32</v>
      </c>
      <c r="G248" s="5" t="s">
        <v>79</v>
      </c>
      <c r="H248" s="5" t="s">
        <v>52</v>
      </c>
      <c r="I248" s="5" t="s">
        <v>53</v>
      </c>
      <c r="J248" s="5" t="s">
        <v>39</v>
      </c>
      <c r="K248" s="5"/>
      <c r="L248" s="5">
        <v>0.55000000000000004</v>
      </c>
      <c r="M248" s="5" t="s">
        <v>207</v>
      </c>
      <c r="N248" s="5">
        <v>-107.98699999999999</v>
      </c>
      <c r="O248" s="6">
        <v>173.32</v>
      </c>
    </row>
    <row r="249" spans="1:15" x14ac:dyDescent="0.25">
      <c r="A249" s="4" t="s">
        <v>37</v>
      </c>
      <c r="B249" s="5">
        <v>0.06</v>
      </c>
      <c r="C249" s="5">
        <v>65.989999999999995</v>
      </c>
      <c r="D249" s="5">
        <v>5.92</v>
      </c>
      <c r="E249" s="5">
        <v>247</v>
      </c>
      <c r="F249" s="5" t="s">
        <v>32</v>
      </c>
      <c r="G249" s="5" t="s">
        <v>17</v>
      </c>
      <c r="H249" s="5" t="s">
        <v>52</v>
      </c>
      <c r="I249" s="5" t="s">
        <v>53</v>
      </c>
      <c r="J249" s="5" t="s">
        <v>39</v>
      </c>
      <c r="K249" s="5"/>
      <c r="L249" s="5">
        <v>0.55000000000000004</v>
      </c>
      <c r="M249" s="5" t="s">
        <v>230</v>
      </c>
      <c r="N249" s="5">
        <v>-3.3319999999999999</v>
      </c>
      <c r="O249" s="6">
        <v>792.11</v>
      </c>
    </row>
    <row r="250" spans="1:15" x14ac:dyDescent="0.25">
      <c r="A250" s="10" t="s">
        <v>31</v>
      </c>
      <c r="B250" s="11">
        <v>7.0000000000000007E-2</v>
      </c>
      <c r="C250" s="11">
        <v>65.989999999999995</v>
      </c>
      <c r="D250" s="11">
        <v>5.26</v>
      </c>
      <c r="E250" s="11">
        <v>383</v>
      </c>
      <c r="F250" s="11" t="s">
        <v>16</v>
      </c>
      <c r="G250" s="11" t="s">
        <v>17</v>
      </c>
      <c r="H250" s="11" t="s">
        <v>52</v>
      </c>
      <c r="I250" s="11" t="s">
        <v>53</v>
      </c>
      <c r="J250" s="11" t="s">
        <v>39</v>
      </c>
      <c r="K250" s="11"/>
      <c r="L250" s="11">
        <v>0.56000000000000005</v>
      </c>
      <c r="M250" s="11" t="s">
        <v>321</v>
      </c>
      <c r="N250" s="11">
        <v>107.08199999999999</v>
      </c>
      <c r="O250" s="12">
        <v>279.83</v>
      </c>
    </row>
  </sheetData>
  <sortState xmlns:xlrd2="http://schemas.microsoft.com/office/spreadsheetml/2017/richdata2" ref="A2:O250">
    <sortCondition ref="K13:K250"/>
  </sortState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19031F-1918-454D-94BB-C4D3A4A9A296}">
  <dimension ref="C11:J25"/>
  <sheetViews>
    <sheetView topLeftCell="C7" zoomScale="115" zoomScaleNormal="115" workbookViewId="0">
      <selection activeCell="E28" sqref="E28"/>
    </sheetView>
  </sheetViews>
  <sheetFormatPr defaultRowHeight="15" x14ac:dyDescent="0.25"/>
  <cols>
    <col min="1" max="1" width="18.42578125" bestFit="1" customWidth="1"/>
    <col min="2" max="2" width="14.28515625" bestFit="1" customWidth="1"/>
    <col min="3" max="3" width="18.42578125" bestFit="1" customWidth="1"/>
    <col min="4" max="5" width="14.28515625" bestFit="1" customWidth="1"/>
    <col min="6" max="6" width="26.7109375" bestFit="1" customWidth="1"/>
    <col min="7" max="7" width="25.28515625" bestFit="1" customWidth="1"/>
    <col min="8" max="9" width="18.42578125" bestFit="1" customWidth="1"/>
    <col min="10" max="10" width="14.28515625" bestFit="1" customWidth="1"/>
    <col min="12" max="12" width="83.28515625" bestFit="1" customWidth="1"/>
    <col min="13" max="13" width="14" bestFit="1" customWidth="1"/>
    <col min="14" max="14" width="16.5703125" bestFit="1" customWidth="1"/>
    <col min="15" max="15" width="27.85546875" bestFit="1" customWidth="1"/>
    <col min="16" max="16" width="24.85546875" bestFit="1" customWidth="1"/>
    <col min="17" max="17" width="11.140625" bestFit="1" customWidth="1"/>
    <col min="18" max="18" width="10.140625" bestFit="1" customWidth="1"/>
    <col min="19" max="19" width="18.5703125" bestFit="1" customWidth="1"/>
    <col min="20" max="20" width="26.5703125" bestFit="1" customWidth="1"/>
    <col min="21" max="21" width="47.7109375" bestFit="1" customWidth="1"/>
    <col min="22" max="24" width="12.42578125" bestFit="1" customWidth="1"/>
    <col min="25" max="25" width="11.28515625" bestFit="1" customWidth="1"/>
    <col min="26" max="26" width="23.7109375" bestFit="1" customWidth="1"/>
    <col min="27" max="27" width="27" bestFit="1" customWidth="1"/>
    <col min="28" max="28" width="26" bestFit="1" customWidth="1"/>
    <col min="29" max="29" width="25" bestFit="1" customWidth="1"/>
    <col min="30" max="30" width="34.140625" bestFit="1" customWidth="1"/>
    <col min="31" max="31" width="52.5703125" bestFit="1" customWidth="1"/>
    <col min="32" max="32" width="27" bestFit="1" customWidth="1"/>
    <col min="33" max="33" width="46.5703125" bestFit="1" customWidth="1"/>
    <col min="34" max="34" width="47" bestFit="1" customWidth="1"/>
    <col min="35" max="35" width="19" bestFit="1" customWidth="1"/>
    <col min="36" max="36" width="54.7109375" bestFit="1" customWidth="1"/>
    <col min="37" max="37" width="53.7109375" bestFit="1" customWidth="1"/>
    <col min="38" max="38" width="10.140625" bestFit="1" customWidth="1"/>
    <col min="39" max="39" width="9.85546875" bestFit="1" customWidth="1"/>
    <col min="40" max="40" width="9" bestFit="1" customWidth="1"/>
    <col min="41" max="41" width="10.7109375" bestFit="1" customWidth="1"/>
    <col min="42" max="42" width="22.5703125" bestFit="1" customWidth="1"/>
    <col min="43" max="43" width="21.140625" bestFit="1" customWidth="1"/>
    <col min="44" max="44" width="55.28515625" bestFit="1" customWidth="1"/>
    <col min="45" max="45" width="28.7109375" bestFit="1" customWidth="1"/>
    <col min="46" max="46" width="51.140625" bestFit="1" customWidth="1"/>
    <col min="47" max="47" width="32.7109375" bestFit="1" customWidth="1"/>
    <col min="48" max="48" width="26.42578125" bestFit="1" customWidth="1"/>
    <col min="49" max="49" width="30.28515625" bestFit="1" customWidth="1"/>
    <col min="50" max="50" width="38.28515625" bestFit="1" customWidth="1"/>
    <col min="51" max="51" width="24.42578125" bestFit="1" customWidth="1"/>
    <col min="52" max="52" width="21.7109375" bestFit="1" customWidth="1"/>
    <col min="53" max="53" width="31.7109375" bestFit="1" customWidth="1"/>
    <col min="54" max="54" width="51.7109375" bestFit="1" customWidth="1"/>
    <col min="55" max="55" width="37.5703125" bestFit="1" customWidth="1"/>
    <col min="56" max="56" width="35.7109375" bestFit="1" customWidth="1"/>
    <col min="57" max="57" width="60.140625" bestFit="1" customWidth="1"/>
    <col min="58" max="58" width="41" bestFit="1" customWidth="1"/>
    <col min="59" max="59" width="39" bestFit="1" customWidth="1"/>
    <col min="60" max="60" width="21.140625" bestFit="1" customWidth="1"/>
    <col min="61" max="61" width="53.42578125" bestFit="1" customWidth="1"/>
    <col min="62" max="62" width="34.5703125" bestFit="1" customWidth="1"/>
    <col min="63" max="63" width="26.5703125" bestFit="1" customWidth="1"/>
    <col min="64" max="64" width="22.85546875" bestFit="1" customWidth="1"/>
    <col min="65" max="65" width="23.7109375" bestFit="1" customWidth="1"/>
    <col min="66" max="66" width="50.5703125" bestFit="1" customWidth="1"/>
    <col min="67" max="67" width="56.42578125" bestFit="1" customWidth="1"/>
    <col min="68" max="68" width="58" bestFit="1" customWidth="1"/>
    <col min="69" max="69" width="40.5703125" bestFit="1" customWidth="1"/>
    <col min="70" max="70" width="52.28515625" bestFit="1" customWidth="1"/>
    <col min="71" max="71" width="43.5703125" bestFit="1" customWidth="1"/>
    <col min="72" max="72" width="43.7109375" bestFit="1" customWidth="1"/>
    <col min="73" max="73" width="47.140625" bestFit="1" customWidth="1"/>
    <col min="74" max="74" width="45.28515625" bestFit="1" customWidth="1"/>
    <col min="75" max="75" width="39.140625" bestFit="1" customWidth="1"/>
    <col min="76" max="76" width="35.42578125" bestFit="1" customWidth="1"/>
    <col min="77" max="77" width="32.28515625" bestFit="1" customWidth="1"/>
    <col min="78" max="78" width="40.5703125" bestFit="1" customWidth="1"/>
    <col min="79" max="79" width="32.28515625" bestFit="1" customWidth="1"/>
    <col min="80" max="80" width="37.140625" bestFit="1" customWidth="1"/>
    <col min="81" max="81" width="24.140625" bestFit="1" customWidth="1"/>
    <col min="82" max="82" width="24.85546875" bestFit="1" customWidth="1"/>
    <col min="83" max="83" width="42.28515625" bestFit="1" customWidth="1"/>
    <col min="84" max="84" width="44.7109375" bestFit="1" customWidth="1"/>
    <col min="85" max="85" width="63.5703125" bestFit="1" customWidth="1"/>
    <col min="86" max="86" width="39.140625" bestFit="1" customWidth="1"/>
    <col min="87" max="87" width="31.85546875" bestFit="1" customWidth="1"/>
    <col min="88" max="88" width="39.140625" bestFit="1" customWidth="1"/>
    <col min="89" max="89" width="40.42578125" bestFit="1" customWidth="1"/>
    <col min="90" max="90" width="43.85546875" bestFit="1" customWidth="1"/>
    <col min="91" max="91" width="19.28515625" bestFit="1" customWidth="1"/>
    <col min="92" max="92" width="37.7109375" bestFit="1" customWidth="1"/>
    <col min="93" max="93" width="50.7109375" bestFit="1" customWidth="1"/>
    <col min="94" max="94" width="59.28515625" bestFit="1" customWidth="1"/>
    <col min="95" max="95" width="42.28515625" bestFit="1" customWidth="1"/>
    <col min="96" max="96" width="20.85546875" bestFit="1" customWidth="1"/>
    <col min="97" max="97" width="58.28515625" bestFit="1" customWidth="1"/>
    <col min="98" max="98" width="29.42578125" bestFit="1" customWidth="1"/>
    <col min="99" max="99" width="34.85546875" bestFit="1" customWidth="1"/>
    <col min="100" max="100" width="26.85546875" bestFit="1" customWidth="1"/>
    <col min="101" max="101" width="73.28515625" bestFit="1" customWidth="1"/>
    <col min="102" max="102" width="28.85546875" bestFit="1" customWidth="1"/>
    <col min="103" max="103" width="53.28515625" bestFit="1" customWidth="1"/>
    <col min="104" max="104" width="43.5703125" bestFit="1" customWidth="1"/>
    <col min="105" max="105" width="46.42578125" bestFit="1" customWidth="1"/>
    <col min="106" max="106" width="47.5703125" bestFit="1" customWidth="1"/>
    <col min="107" max="107" width="53.28515625" bestFit="1" customWidth="1"/>
    <col min="108" max="108" width="34.28515625" bestFit="1" customWidth="1"/>
    <col min="109" max="109" width="56.28515625" bestFit="1" customWidth="1"/>
    <col min="110" max="110" width="26.42578125" bestFit="1" customWidth="1"/>
    <col min="111" max="111" width="26" bestFit="1" customWidth="1"/>
    <col min="112" max="112" width="24.7109375" bestFit="1" customWidth="1"/>
    <col min="113" max="113" width="11.85546875" bestFit="1" customWidth="1"/>
    <col min="114" max="114" width="56.42578125" bestFit="1" customWidth="1"/>
    <col min="115" max="115" width="40.7109375" bestFit="1" customWidth="1"/>
    <col min="116" max="116" width="49.28515625" bestFit="1" customWidth="1"/>
    <col min="117" max="117" width="33.28515625" bestFit="1" customWidth="1"/>
    <col min="118" max="118" width="29.140625" bestFit="1" customWidth="1"/>
    <col min="119" max="119" width="31.140625" bestFit="1" customWidth="1"/>
    <col min="120" max="120" width="30.7109375" bestFit="1" customWidth="1"/>
    <col min="121" max="121" width="13.140625" bestFit="1" customWidth="1"/>
    <col min="122" max="122" width="29.140625" bestFit="1" customWidth="1"/>
    <col min="123" max="131" width="11.140625" bestFit="1" customWidth="1"/>
    <col min="132" max="132" width="73" bestFit="1" customWidth="1"/>
    <col min="133" max="133" width="84.85546875" bestFit="1" customWidth="1"/>
    <col min="134" max="134" width="38.7109375" bestFit="1" customWidth="1"/>
    <col min="135" max="135" width="44" bestFit="1" customWidth="1"/>
    <col min="136" max="136" width="37.5703125" bestFit="1" customWidth="1"/>
    <col min="137" max="137" width="52.42578125" bestFit="1" customWidth="1"/>
    <col min="138" max="138" width="43" bestFit="1" customWidth="1"/>
    <col min="139" max="139" width="45" bestFit="1" customWidth="1"/>
    <col min="140" max="141" width="35.85546875" bestFit="1" customWidth="1"/>
    <col min="142" max="142" width="43" bestFit="1" customWidth="1"/>
    <col min="143" max="143" width="59.85546875" bestFit="1" customWidth="1"/>
    <col min="144" max="144" width="53" bestFit="1" customWidth="1"/>
    <col min="145" max="145" width="42.7109375" bestFit="1" customWidth="1"/>
    <col min="146" max="146" width="27.140625" bestFit="1" customWidth="1"/>
    <col min="147" max="147" width="46.28515625" bestFit="1" customWidth="1"/>
    <col min="148" max="148" width="66.28515625" bestFit="1" customWidth="1"/>
    <col min="149" max="149" width="36.42578125" bestFit="1" customWidth="1"/>
    <col min="150" max="150" width="41.7109375" bestFit="1" customWidth="1"/>
    <col min="151" max="151" width="24.28515625" bestFit="1" customWidth="1"/>
    <col min="152" max="152" width="45.85546875" bestFit="1" customWidth="1"/>
    <col min="153" max="153" width="47.28515625" bestFit="1" customWidth="1"/>
    <col min="154" max="154" width="79.42578125" bestFit="1" customWidth="1"/>
    <col min="155" max="155" width="40" bestFit="1" customWidth="1"/>
    <col min="156" max="156" width="31.7109375" bestFit="1" customWidth="1"/>
    <col min="157" max="157" width="73.140625" bestFit="1" customWidth="1"/>
    <col min="158" max="158" width="43.7109375" bestFit="1" customWidth="1"/>
    <col min="159" max="159" width="23.5703125" bestFit="1" customWidth="1"/>
    <col min="160" max="160" width="45.28515625" bestFit="1" customWidth="1"/>
    <col min="161" max="161" width="34.28515625" bestFit="1" customWidth="1"/>
    <col min="162" max="163" width="13" bestFit="1" customWidth="1"/>
    <col min="164" max="164" width="14.7109375" bestFit="1" customWidth="1"/>
    <col min="165" max="165" width="14.42578125" bestFit="1" customWidth="1"/>
    <col min="166" max="166" width="15.140625" bestFit="1" customWidth="1"/>
    <col min="167" max="167" width="23.7109375" bestFit="1" customWidth="1"/>
    <col min="168" max="168" width="46.85546875" bestFit="1" customWidth="1"/>
    <col min="169" max="169" width="20.42578125" bestFit="1" customWidth="1"/>
    <col min="170" max="170" width="11.85546875" bestFit="1" customWidth="1"/>
    <col min="171" max="171" width="7.85546875" bestFit="1" customWidth="1"/>
    <col min="172" max="172" width="32.85546875" bestFit="1" customWidth="1"/>
    <col min="173" max="173" width="35.85546875" bestFit="1" customWidth="1"/>
    <col min="174" max="174" width="48" bestFit="1" customWidth="1"/>
    <col min="175" max="175" width="55" bestFit="1" customWidth="1"/>
    <col min="176" max="176" width="28.7109375" bestFit="1" customWidth="1"/>
    <col min="177" max="177" width="37.140625" bestFit="1" customWidth="1"/>
    <col min="178" max="178" width="14.85546875" bestFit="1" customWidth="1"/>
    <col min="179" max="179" width="47.5703125" bestFit="1" customWidth="1"/>
    <col min="180" max="180" width="26.5703125" bestFit="1" customWidth="1"/>
    <col min="181" max="181" width="45.7109375" bestFit="1" customWidth="1"/>
    <col min="182" max="182" width="37.42578125" bestFit="1" customWidth="1"/>
    <col min="183" max="183" width="52.42578125" bestFit="1" customWidth="1"/>
    <col min="184" max="184" width="10" bestFit="1" customWidth="1"/>
    <col min="185" max="189" width="11.140625" bestFit="1" customWidth="1"/>
    <col min="190" max="190" width="10" bestFit="1" customWidth="1"/>
    <col min="191" max="192" width="11.140625" bestFit="1" customWidth="1"/>
    <col min="193" max="193" width="10" bestFit="1" customWidth="1"/>
    <col min="194" max="197" width="11.140625" bestFit="1" customWidth="1"/>
    <col min="198" max="198" width="10" bestFit="1" customWidth="1"/>
    <col min="199" max="199" width="64.7109375" bestFit="1" customWidth="1"/>
    <col min="200" max="200" width="27.140625" bestFit="1" customWidth="1"/>
    <col min="201" max="201" width="33" bestFit="1" customWidth="1"/>
    <col min="202" max="202" width="11.140625" bestFit="1" customWidth="1"/>
    <col min="203" max="203" width="14" bestFit="1" customWidth="1"/>
  </cols>
  <sheetData>
    <row r="11" spans="3:10" x14ac:dyDescent="0.25">
      <c r="C11" s="17" t="s">
        <v>380</v>
      </c>
      <c r="D11" t="s">
        <v>379</v>
      </c>
      <c r="F11" s="17" t="s">
        <v>380</v>
      </c>
      <c r="G11" t="s">
        <v>379</v>
      </c>
      <c r="I11" s="17" t="s">
        <v>380</v>
      </c>
      <c r="J11" t="s">
        <v>379</v>
      </c>
    </row>
    <row r="12" spans="3:10" x14ac:dyDescent="0.25">
      <c r="C12" s="14" t="s">
        <v>32</v>
      </c>
      <c r="D12">
        <v>-556.80960000000005</v>
      </c>
      <c r="F12" s="14" t="s">
        <v>38</v>
      </c>
      <c r="G12">
        <v>-556.80960000000005</v>
      </c>
      <c r="I12" s="14" t="s">
        <v>26</v>
      </c>
      <c r="J12">
        <v>-556.80960000000005</v>
      </c>
    </row>
    <row r="13" spans="3:10" x14ac:dyDescent="0.25">
      <c r="C13" s="14" t="s">
        <v>381</v>
      </c>
      <c r="D13">
        <v>-556.80960000000005</v>
      </c>
      <c r="F13" s="14" t="s">
        <v>381</v>
      </c>
      <c r="G13">
        <v>-556.80960000000005</v>
      </c>
      <c r="I13" s="14" t="s">
        <v>381</v>
      </c>
      <c r="J13">
        <v>-556.80960000000005</v>
      </c>
    </row>
    <row r="24" spans="6:7" x14ac:dyDescent="0.25">
      <c r="F24" t="s">
        <v>382</v>
      </c>
      <c r="G24" t="s">
        <v>383</v>
      </c>
    </row>
    <row r="25" spans="6:7" x14ac:dyDescent="0.25">
      <c r="F25" s="19">
        <v>1</v>
      </c>
      <c r="G25" s="19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A4CB0-D3C7-43BB-9EB2-4CD65841D808}">
  <sheetPr codeName="Planilha2"/>
  <dimension ref="E4:AA49"/>
  <sheetViews>
    <sheetView tabSelected="1" zoomScale="70" zoomScaleNormal="70" workbookViewId="0">
      <selection activeCell="X30" sqref="X30"/>
    </sheetView>
  </sheetViews>
  <sheetFormatPr defaultRowHeight="15" x14ac:dyDescent="0.25"/>
  <sheetData>
    <row r="4" spans="5:24" x14ac:dyDescent="0.25"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</row>
    <row r="5" spans="5:24" x14ac:dyDescent="0.25"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</row>
    <row r="6" spans="5:24" ht="18" x14ac:dyDescent="0.35"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20">
        <f>GETPIVOTDATA("Contagem de Product Name",Tabela_dinamica!$F$25)</f>
        <v>1</v>
      </c>
      <c r="Q6" s="15"/>
      <c r="R6" s="15"/>
      <c r="S6" s="15"/>
      <c r="T6" s="15"/>
      <c r="U6" s="15"/>
      <c r="V6" s="15"/>
      <c r="W6" s="15"/>
      <c r="X6" s="15"/>
    </row>
    <row r="7" spans="5:24" x14ac:dyDescent="0.25"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>
        <f>GETPIVOTDATA("Contagem de Customer ID",Tabela_dinamica!$F$25)</f>
        <v>1</v>
      </c>
      <c r="Q7" s="15"/>
      <c r="R7" s="15"/>
      <c r="S7" s="15"/>
      <c r="T7" s="15"/>
      <c r="U7" s="15"/>
      <c r="V7" s="15"/>
      <c r="W7" s="15"/>
      <c r="X7" s="15"/>
    </row>
    <row r="8" spans="5:24" x14ac:dyDescent="0.25">
      <c r="E8" s="15"/>
      <c r="F8" s="15"/>
      <c r="G8" s="15"/>
      <c r="H8" s="15"/>
      <c r="I8" s="15"/>
      <c r="J8" s="21"/>
      <c r="K8" s="21"/>
      <c r="L8" s="21"/>
      <c r="M8" s="21"/>
      <c r="N8" s="21"/>
      <c r="O8" s="15"/>
      <c r="P8" s="15"/>
      <c r="Q8" s="15"/>
      <c r="R8" s="15"/>
      <c r="S8" s="15"/>
      <c r="T8" s="15"/>
      <c r="U8" s="15"/>
      <c r="V8" s="15"/>
      <c r="W8" s="15"/>
      <c r="X8" s="15"/>
    </row>
    <row r="9" spans="5:24" x14ac:dyDescent="0.25">
      <c r="E9" s="15"/>
      <c r="F9" s="15"/>
      <c r="G9" s="15"/>
      <c r="H9" s="15"/>
      <c r="I9" s="15"/>
      <c r="J9" s="21"/>
      <c r="K9" s="21"/>
      <c r="L9" s="21"/>
      <c r="M9" s="21"/>
      <c r="N9" s="21"/>
      <c r="O9" s="15"/>
      <c r="P9" s="15"/>
      <c r="Q9" s="15"/>
      <c r="R9" s="15"/>
      <c r="S9" s="15"/>
      <c r="T9" s="15"/>
      <c r="U9" s="15"/>
      <c r="V9" s="15"/>
      <c r="W9" s="15"/>
      <c r="X9" s="15"/>
    </row>
    <row r="10" spans="5:24" x14ac:dyDescent="0.25">
      <c r="E10" s="15"/>
      <c r="F10" s="15"/>
      <c r="G10" s="15"/>
      <c r="H10" s="15"/>
      <c r="I10" s="15"/>
      <c r="J10" s="21"/>
      <c r="K10" s="21"/>
      <c r="L10" s="21"/>
      <c r="M10" s="21"/>
      <c r="N10" s="21"/>
      <c r="O10" s="15"/>
      <c r="P10" s="15"/>
      <c r="Q10" s="15"/>
      <c r="R10" s="15"/>
      <c r="S10" s="15"/>
      <c r="T10" s="15"/>
      <c r="U10" s="15"/>
      <c r="V10" s="15"/>
      <c r="W10" s="15"/>
      <c r="X10" s="15"/>
    </row>
    <row r="11" spans="5:24" x14ac:dyDescent="0.25"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</row>
    <row r="12" spans="5:24" x14ac:dyDescent="0.25"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</row>
    <row r="13" spans="5:24" x14ac:dyDescent="0.25"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</row>
    <row r="14" spans="5:24" x14ac:dyDescent="0.25"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</row>
    <row r="15" spans="5:24" x14ac:dyDescent="0.25"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</row>
    <row r="16" spans="5:24" x14ac:dyDescent="0.25"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</row>
    <row r="17" spans="5:27" x14ac:dyDescent="0.25"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</row>
    <row r="18" spans="5:27" x14ac:dyDescent="0.25"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</row>
    <row r="19" spans="5:27" x14ac:dyDescent="0.25"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</row>
    <row r="20" spans="5:27" x14ac:dyDescent="0.25"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6"/>
      <c r="V20" s="15"/>
      <c r="W20" s="15"/>
      <c r="X20" s="15"/>
    </row>
    <row r="21" spans="5:27" x14ac:dyDescent="0.25"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</row>
    <row r="22" spans="5:27" x14ac:dyDescent="0.25"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</row>
    <row r="23" spans="5:27" x14ac:dyDescent="0.25"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</row>
    <row r="24" spans="5:27" x14ac:dyDescent="0.25"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6"/>
      <c r="Q24" s="15"/>
      <c r="R24" s="15"/>
      <c r="S24" s="15"/>
      <c r="T24" s="15"/>
      <c r="U24" s="15"/>
      <c r="V24" s="15"/>
      <c r="W24" s="15"/>
      <c r="X24" s="15"/>
    </row>
    <row r="25" spans="5:27" x14ac:dyDescent="0.25"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</row>
    <row r="26" spans="5:27" x14ac:dyDescent="0.25"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</row>
    <row r="27" spans="5:27" x14ac:dyDescent="0.25"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</row>
    <row r="28" spans="5:27" x14ac:dyDescent="0.25"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Z28" s="18"/>
      <c r="AA28" s="18"/>
    </row>
    <row r="29" spans="5:27" x14ac:dyDescent="0.25"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</row>
    <row r="30" spans="5:27" x14ac:dyDescent="0.25"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</row>
    <row r="31" spans="5:27" x14ac:dyDescent="0.25"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</row>
    <row r="32" spans="5:27" x14ac:dyDescent="0.25"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</row>
    <row r="33" spans="5:24" x14ac:dyDescent="0.25"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</row>
    <row r="34" spans="5:24" x14ac:dyDescent="0.25"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</row>
    <row r="35" spans="5:24" x14ac:dyDescent="0.25"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</row>
    <row r="36" spans="5:24" x14ac:dyDescent="0.25"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</row>
    <row r="37" spans="5:24" x14ac:dyDescent="0.25"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</row>
    <row r="38" spans="5:24" x14ac:dyDescent="0.25"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</row>
    <row r="39" spans="5:24" x14ac:dyDescent="0.25"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</row>
    <row r="40" spans="5:24" x14ac:dyDescent="0.25"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</row>
    <row r="41" spans="5:24" x14ac:dyDescent="0.25"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</row>
    <row r="42" spans="5:24" x14ac:dyDescent="0.25"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</row>
    <row r="43" spans="5:24" x14ac:dyDescent="0.25"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</row>
    <row r="44" spans="5:24" x14ac:dyDescent="0.25"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</row>
    <row r="45" spans="5:24" x14ac:dyDescent="0.25"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</row>
    <row r="46" spans="5:24" x14ac:dyDescent="0.25"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</row>
    <row r="47" spans="5:24" x14ac:dyDescent="0.25"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</row>
    <row r="48" spans="5:24" x14ac:dyDescent="0.25"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</row>
    <row r="49" spans="5:24" x14ac:dyDescent="0.25"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</row>
  </sheetData>
  <mergeCells count="1">
    <mergeCell ref="J8:N1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Atualizar01">
                <anchor moveWithCells="1" sizeWithCells="1">
                  <from>
                    <xdr:col>20</xdr:col>
                    <xdr:colOff>257175</xdr:colOff>
                    <xdr:row>5</xdr:row>
                    <xdr:rowOff>47625</xdr:rowOff>
                  </from>
                  <to>
                    <xdr:col>23</xdr:col>
                    <xdr:colOff>514350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4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Dados Brutos-EN</vt:lpstr>
      <vt:lpstr>Tabela_dinamica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Luan Moreno</dc:creator>
  <cp:lastModifiedBy>Luan Moreno</cp:lastModifiedBy>
  <dcterms:created xsi:type="dcterms:W3CDTF">2024-06-16T22:17:28Z</dcterms:created>
  <dcterms:modified xsi:type="dcterms:W3CDTF">2024-06-18T18:10:01Z</dcterms:modified>
</cp:coreProperties>
</file>